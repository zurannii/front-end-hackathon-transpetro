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ships_data" sheetId="1" r:id="rId4"/>
  </sheets>
  <definedNames/>
  <calcPr/>
</workbook>
</file>

<file path=xl/sharedStrings.xml><?xml version="1.0" encoding="utf-8"?>
<sst xmlns="http://schemas.openxmlformats.org/spreadsheetml/2006/main" count="427" uniqueCount="230">
  <si>
    <t>Company_Name</t>
  </si>
  <si>
    <t>ship_name</t>
  </si>
  <si>
    <t>gt</t>
  </si>
  <si>
    <t>dwt</t>
  </si>
  <si>
    <t>length</t>
  </si>
  <si>
    <t>width</t>
  </si>
  <si>
    <t>% da carga maxima</t>
  </si>
  <si>
    <t>% casco</t>
  </si>
  <si>
    <t>% consumo</t>
  </si>
  <si>
    <t>Consumo-100%</t>
  </si>
  <si>
    <t>consumo + peso da craca</t>
  </si>
  <si>
    <t>Craca</t>
  </si>
  <si>
    <t>Carga</t>
  </si>
  <si>
    <t>Coeficiente de bloco</t>
  </si>
  <si>
    <t>densidade da água</t>
  </si>
  <si>
    <t>Tipo</t>
  </si>
  <si>
    <t>k</t>
  </si>
  <si>
    <t>PRELUDE</t>
  </si>
  <si>
    <t>Offshore Support Vessel</t>
  </si>
  <si>
    <t>Container Ship</t>
  </si>
  <si>
    <t>Consumo = k × (DWT ^ 0.7)</t>
  </si>
  <si>
    <t>MSC LORETO</t>
  </si>
  <si>
    <t>Crude Oil Tanker</t>
  </si>
  <si>
    <t>MSC FEBE</t>
  </si>
  <si>
    <t>Bulk Carrier</t>
  </si>
  <si>
    <t>MSC ARINA</t>
  </si>
  <si>
    <t xml:space="preserve">LNG Tanker </t>
  </si>
  <si>
    <t>EVER GOVERN</t>
  </si>
  <si>
    <t>MAASTRICHT MAERSK</t>
  </si>
  <si>
    <t>ONE TREASURE</t>
  </si>
  <si>
    <t>Leve (limo fino / slime): s = 0.05 (aumento até ~5% se 100% coberto)</t>
  </si>
  <si>
    <t>ORE SHENZHEN</t>
  </si>
  <si>
    <t>Moderado (craca moderada): s = 0.15 (≈15% se 100% coberto)</t>
  </si>
  <si>
    <t>SAHAM MAX</t>
  </si>
  <si>
    <t>Pesado (craca espessa / incrustante): s = 0.30 (≈30% se 100% coberto)</t>
  </si>
  <si>
    <t>BARZAN</t>
  </si>
  <si>
    <t>Extremo (fouling severo + macrofouling): s = 0.60 (até 60% ou mais)</t>
  </si>
  <si>
    <t>MARSTAL MAERSK</t>
  </si>
  <si>
    <t>MSC DIANA</t>
  </si>
  <si>
    <t>COSTA TOSCANA</t>
  </si>
  <si>
    <t>Passenger (Cruise) Ship</t>
  </si>
  <si>
    <t>MSC NEW YORK</t>
  </si>
  <si>
    <t>MSC MERAVIGLIA</t>
  </si>
  <si>
    <t>ATHERINA</t>
  </si>
  <si>
    <t>AL GHUWAIRIYA</t>
  </si>
  <si>
    <t>LNG Tanker</t>
  </si>
  <si>
    <t>HONG KONG SPIRIT</t>
  </si>
  <si>
    <t>NEW PROSPERITY</t>
  </si>
  <si>
    <t>NEW WISDOM</t>
  </si>
  <si>
    <t>DAN</t>
  </si>
  <si>
    <t>ATBAN</t>
  </si>
  <si>
    <t>SAN RAMON VOYAGER</t>
  </si>
  <si>
    <t>NISALAH</t>
  </si>
  <si>
    <t>DHT OPAL</t>
  </si>
  <si>
    <t>JAHAM</t>
  </si>
  <si>
    <t>MARAN THETIS</t>
  </si>
  <si>
    <t>GENT</t>
  </si>
  <si>
    <t>SEAWAYS DIAMOND HEAD</t>
  </si>
  <si>
    <t>BIG STAR</t>
  </si>
  <si>
    <t>OLYMPIC LIFE</t>
  </si>
  <si>
    <t>STELLAR RIO</t>
  </si>
  <si>
    <t>AWTAD</t>
  </si>
  <si>
    <t>SPLENDOR</t>
  </si>
  <si>
    <t>PIONEER</t>
  </si>
  <si>
    <t>BASRA</t>
  </si>
  <si>
    <t>NEW PEARL</t>
  </si>
  <si>
    <t>SAKE</t>
  </si>
  <si>
    <t>NEW PRIME</t>
  </si>
  <si>
    <t>PLATA GLORY</t>
  </si>
  <si>
    <t>DHT BAUHINIA</t>
  </si>
  <si>
    <t>TAKAMATSU MARU</t>
  </si>
  <si>
    <t>LEXIE</t>
  </si>
  <si>
    <t>MAXIM</t>
  </si>
  <si>
    <t>NEW PIONEER</t>
  </si>
  <si>
    <t>NEW PROSPECT</t>
  </si>
  <si>
    <t>NASHA</t>
  </si>
  <si>
    <t>GAZA MARINE TERMINAL</t>
  </si>
  <si>
    <t>FSO</t>
  </si>
  <si>
    <t>STELLAR UNICORN</t>
  </si>
  <si>
    <t>SEAWAYS ENTERPRISE</t>
  </si>
  <si>
    <t>YIANNIS LATSIS</t>
  </si>
  <si>
    <t>ALICE</t>
  </si>
  <si>
    <t>SEAPASSION</t>
  </si>
  <si>
    <t>BING N</t>
  </si>
  <si>
    <t>MAERSK HANOI</t>
  </si>
  <si>
    <t>MSC SEASIDE</t>
  </si>
  <si>
    <t>MSC VALERIA</t>
  </si>
  <si>
    <t>COSRICH LAKE</t>
  </si>
  <si>
    <t>EROS</t>
  </si>
  <si>
    <t>GEMMA</t>
  </si>
  <si>
    <t>HUGO N</t>
  </si>
  <si>
    <t>CMA CGM ARCTIC</t>
  </si>
  <si>
    <t>MANARA</t>
  </si>
  <si>
    <t>MSC VIRGO</t>
  </si>
  <si>
    <t>THESEUS</t>
  </si>
  <si>
    <t>PACIFIC CORAL</t>
  </si>
  <si>
    <t>YM WHOLESOME</t>
  </si>
  <si>
    <t>DIAMOND GAS ROSE</t>
  </si>
  <si>
    <t>ULSAN EXPRESS</t>
  </si>
  <si>
    <t>HYUNDAI PRIDE</t>
  </si>
  <si>
    <t>COSCO GLORY</t>
  </si>
  <si>
    <t>MAERSK ESSEN</t>
  </si>
  <si>
    <t>CELEBRITY BEYOND</t>
  </si>
  <si>
    <t>OOCL POLAND</t>
  </si>
  <si>
    <t>MARINER OF THE SEAS</t>
  </si>
  <si>
    <t>ONAIZA</t>
  </si>
  <si>
    <t>AL GHARRAFA</t>
  </si>
  <si>
    <t>BERGE ELBRUS</t>
  </si>
  <si>
    <t>SERI CAMELLIA</t>
  </si>
  <si>
    <t>INDIGO HOPE</t>
  </si>
  <si>
    <t>PETROBRAS-47</t>
  </si>
  <si>
    <t>MARVEL EAGLE</t>
  </si>
  <si>
    <t>ENSHU MARU</t>
  </si>
  <si>
    <t>ALTO ACRUX</t>
  </si>
  <si>
    <t>LNG JUPITER</t>
  </si>
  <si>
    <t>ENERGY FRONTIER</t>
  </si>
  <si>
    <t>ELISA AQUILA</t>
  </si>
  <si>
    <t>YM TUTORIAL</t>
  </si>
  <si>
    <t>EVER FUTURE</t>
  </si>
  <si>
    <t>UMM AL ASHTAN</t>
  </si>
  <si>
    <t>CSCL SOUTH CHINA SEA</t>
  </si>
  <si>
    <t>COOL RACER</t>
  </si>
  <si>
    <t>VENTURA</t>
  </si>
  <si>
    <t>GASLOG GEORGETOWN</t>
  </si>
  <si>
    <t>BW ENN SNOW LOTUS</t>
  </si>
  <si>
    <t>PAN AFRICA</t>
  </si>
  <si>
    <t>BW PAVILIONARANTHERA</t>
  </si>
  <si>
    <t>SPIRIT OF HELA</t>
  </si>
  <si>
    <t>BEIDOU STAR</t>
  </si>
  <si>
    <t>EXPRESS ROME</t>
  </si>
  <si>
    <t>MARAN GAS ANDROS</t>
  </si>
  <si>
    <t>MACOMA</t>
  </si>
  <si>
    <t>NAVIOS UNISON</t>
  </si>
  <si>
    <t>FLEX ENDEAVOUR</t>
  </si>
  <si>
    <t>SEASPAN THAMES</t>
  </si>
  <si>
    <t>GASLOG GENEVA</t>
  </si>
  <si>
    <t>CMA CGM PELLEAS</t>
  </si>
  <si>
    <t>ISH</t>
  </si>
  <si>
    <t>CARNIVAL CONQUEST</t>
  </si>
  <si>
    <t>GOLDEN SPRAY</t>
  </si>
  <si>
    <t>APL MIAMI</t>
  </si>
  <si>
    <t>ZIM YANTIAN</t>
  </si>
  <si>
    <t>CAPE BROLGA</t>
  </si>
  <si>
    <t>MINERAL YANGFAN</t>
  </si>
  <si>
    <t>MINERAL HIROSHIGE</t>
  </si>
  <si>
    <t>GUANG LI HAI</t>
  </si>
  <si>
    <t>GOLDEN COMFORT</t>
  </si>
  <si>
    <t>HENRIETTE OLDENDORFF</t>
  </si>
  <si>
    <t>LINDA OLDENDORFF</t>
  </si>
  <si>
    <t>FRIEDRICH OLDENDORFF</t>
  </si>
  <si>
    <t>SAMJOHN DREAM</t>
  </si>
  <si>
    <t>FPMC B NATURE</t>
  </si>
  <si>
    <t>MATHILDE OLDENDORFF</t>
  </si>
  <si>
    <t>CAPE SASANQUA</t>
  </si>
  <si>
    <t>BAO GUO</t>
  </si>
  <si>
    <t>C.S. BRILLIANCE</t>
  </si>
  <si>
    <t>ONE ARCADIA</t>
  </si>
  <si>
    <t>NETADOLA</t>
  </si>
  <si>
    <t>MARAN GAS DELPHI</t>
  </si>
  <si>
    <t>COSTA FORTUNA</t>
  </si>
  <si>
    <t>KOOL CRYSTAL</t>
  </si>
  <si>
    <t>CAPE KORI</t>
  </si>
  <si>
    <t>EVER LISSOME</t>
  </si>
  <si>
    <t>ATLANTIC SEA</t>
  </si>
  <si>
    <t>EVER LIVELY</t>
  </si>
  <si>
    <t>MEIN SCHIFF 3</t>
  </si>
  <si>
    <t>LNG IMO</t>
  </si>
  <si>
    <t>AMALI</t>
  </si>
  <si>
    <t>NYK VENUS</t>
  </si>
  <si>
    <t>ENERGOS MARIA</t>
  </si>
  <si>
    <t>TRAIGUEN</t>
  </si>
  <si>
    <t>MSC ELODIE</t>
  </si>
  <si>
    <t>CMA CGM JEAN GABRIEL</t>
  </si>
  <si>
    <t>MSC ELAINE</t>
  </si>
  <si>
    <t>MSC JEONGMIN</t>
  </si>
  <si>
    <t>MSC AZOV</t>
  </si>
  <si>
    <t>STAR OPHELIA</t>
  </si>
  <si>
    <t>GOLAR ARCTIC</t>
  </si>
  <si>
    <t>SG FOUNDATION</t>
  </si>
  <si>
    <t>RAMBO</t>
  </si>
  <si>
    <t>EVER DEVOTION</t>
  </si>
  <si>
    <t>MILLIE</t>
  </si>
  <si>
    <t>COSCOSHIPPING DANUBE</t>
  </si>
  <si>
    <t>WANG MAY</t>
  </si>
  <si>
    <t>MSC AGADIR</t>
  </si>
  <si>
    <t>JUDITH SCHULTE</t>
  </si>
  <si>
    <t>MARIPERLA</t>
  </si>
  <si>
    <t>DISHA</t>
  </si>
  <si>
    <t>MARIGO P</t>
  </si>
  <si>
    <t>HL GLADSTONE</t>
  </si>
  <si>
    <t>VIENNA EXPRESS</t>
  </si>
  <si>
    <t>CAPE CORMORANT</t>
  </si>
  <si>
    <t>CORCOVADO</t>
  </si>
  <si>
    <t>MEYNELL</t>
  </si>
  <si>
    <t>GLOVIS ADVANCE</t>
  </si>
  <si>
    <t>MAERSK SYDNEY</t>
  </si>
  <si>
    <t>HL SALDANHA BAY</t>
  </si>
  <si>
    <t>PAROS</t>
  </si>
  <si>
    <t>GENCO TIGER</t>
  </si>
  <si>
    <t>CAPE KEYSTONE</t>
  </si>
  <si>
    <t>WINNING SPIRIT</t>
  </si>
  <si>
    <t>SEAUNITY</t>
  </si>
  <si>
    <t>TRUE CAPTAIN</t>
  </si>
  <si>
    <t>EREIKOUSSA</t>
  </si>
  <si>
    <t>LAKE D</t>
  </si>
  <si>
    <t>KINOKAWA MARU</t>
  </si>
  <si>
    <t>BERGE MAWSON</t>
  </si>
  <si>
    <t>THALASSINI NJORD</t>
  </si>
  <si>
    <t>NAVIOS CANARY</t>
  </si>
  <si>
    <t>GOLDEN BEIJING</t>
  </si>
  <si>
    <t>SKAGEN MAERSK</t>
  </si>
  <si>
    <t>OOCL UTAH</t>
  </si>
  <si>
    <t>CAPE SUN</t>
  </si>
  <si>
    <t>CIC ROLACO</t>
  </si>
  <si>
    <t>CAPE SANDRA</t>
  </si>
  <si>
    <t>MALINDI</t>
  </si>
  <si>
    <t>CAPE SHANGHAI</t>
  </si>
  <si>
    <t>OOCL TAIPEI</t>
  </si>
  <si>
    <t>AFALES</t>
  </si>
  <si>
    <t>EDWARD N</t>
  </si>
  <si>
    <t>CASTA DIVA</t>
  </si>
  <si>
    <t>LILA NINGBO</t>
  </si>
  <si>
    <t>COSCO VIETNAM</t>
  </si>
  <si>
    <t>BILBAO KNUTSEN</t>
  </si>
  <si>
    <t>BAO CHANG HAI</t>
  </si>
  <si>
    <t>HONORSHIP</t>
  </si>
  <si>
    <t>MARAN TRANSPORTER</t>
  </si>
  <si>
    <t>MARAN ASTRONOMER</t>
  </si>
  <si>
    <t>WINNING LOYALTY</t>
  </si>
  <si>
    <t>BRAVE SAILOR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</si>
</sst>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leaned_ships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01" displayName="Tabela_1" name="Tabela_1" id="1">
  <tableColumns count="11">
    <tableColumn name="Company_Name" id="1"/>
    <tableColumn name="ship_name" id="2"/>
    <tableColumn name="gt" id="3"/>
    <tableColumn name="dwt" id="4"/>
    <tableColumn name="length" id="5"/>
    <tableColumn name="width" id="6"/>
    <tableColumn name="% da carga maxima" id="7"/>
    <tableColumn name="% casco" id="8"/>
    <tableColumn name="% consumo" id="9"/>
    <tableColumn name="Consumo-100%" id="10"/>
    <tableColumn name="consumo + peso da craca" id="11"/>
  </tableColumns>
  <tableStyleInfo name="Cleaned_ships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20.38"/>
    <col customWidth="1" min="7" max="7" width="20.0"/>
    <col customWidth="1" min="8" max="10" width="17.13"/>
    <col customWidth="1" min="11" max="11" width="24.63"/>
    <col customWidth="1" min="14" max="17" width="22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ht="22.5" customHeight="1">
      <c r="A2" s="5" t="s">
        <v>17</v>
      </c>
      <c r="B2" s="5" t="s">
        <v>18</v>
      </c>
      <c r="C2" s="5">
        <v>499167.0</v>
      </c>
      <c r="D2" s="5">
        <v>394330.0</v>
      </c>
      <c r="E2" s="5">
        <v>489.0</v>
      </c>
      <c r="F2" s="5">
        <v>74.0</v>
      </c>
      <c r="G2" s="6">
        <f t="shared" ref="G2:G201" si="1">D2*$N$2</f>
        <v>315464</v>
      </c>
      <c r="H2" s="6">
        <f t="shared" ref="H2:H201" si="2">G2  / ($P$2  * E2 * F2 * $O$2  )/F2*100</f>
        <v>13.52180648</v>
      </c>
      <c r="I2" s="6">
        <f t="shared" ref="I2:I201" si="3">(G2^0.7)*VLOOKUP(B2,$Q$2:$R$6,2)</f>
        <v>848.0981387</v>
      </c>
      <c r="J2" s="6">
        <v>991.478084780566</v>
      </c>
      <c r="K2" s="7">
        <f t="shared" ref="K2:K201" si="4"> J2 * (1 +(H2/100)  * $M$2)</f>
        <v>1011.587947</v>
      </c>
      <c r="M2" s="4">
        <v>0.15</v>
      </c>
      <c r="N2" s="4">
        <v>0.8</v>
      </c>
      <c r="O2" s="4">
        <v>0.85</v>
      </c>
      <c r="P2" s="4">
        <v>1.025</v>
      </c>
      <c r="Q2" s="4" t="s">
        <v>19</v>
      </c>
      <c r="R2" s="4">
        <v>0.18</v>
      </c>
      <c r="T2" s="8" t="s">
        <v>20</v>
      </c>
    </row>
    <row r="3" ht="22.5" customHeight="1">
      <c r="A3" s="5" t="s">
        <v>21</v>
      </c>
      <c r="B3" s="5" t="s">
        <v>19</v>
      </c>
      <c r="C3" s="5">
        <v>236184.0</v>
      </c>
      <c r="D3" s="5">
        <v>240000.0</v>
      </c>
      <c r="E3" s="5">
        <v>399.0</v>
      </c>
      <c r="F3" s="5">
        <v>60.0</v>
      </c>
      <c r="G3" s="6">
        <f t="shared" si="1"/>
        <v>192000</v>
      </c>
      <c r="H3" s="6">
        <f t="shared" si="2"/>
        <v>15.34203754</v>
      </c>
      <c r="I3" s="6">
        <f t="shared" si="3"/>
        <v>698.9383908</v>
      </c>
      <c r="J3" s="6">
        <v>817.1013064323243</v>
      </c>
      <c r="K3" s="7">
        <f t="shared" si="4"/>
        <v>835.9053048</v>
      </c>
      <c r="N3" s="4"/>
      <c r="O3" s="4"/>
      <c r="P3" s="4"/>
      <c r="Q3" s="4" t="s">
        <v>22</v>
      </c>
      <c r="R3" s="4">
        <v>0.16</v>
      </c>
      <c r="T3" s="9"/>
    </row>
    <row r="4" ht="22.5" customHeight="1">
      <c r="A4" s="5" t="s">
        <v>23</v>
      </c>
      <c r="B4" s="5" t="s">
        <v>19</v>
      </c>
      <c r="C4" s="5">
        <v>232618.0</v>
      </c>
      <c r="D4" s="5">
        <v>228149.0</v>
      </c>
      <c r="E4" s="5">
        <v>400.0</v>
      </c>
      <c r="F4" s="5">
        <v>62.0</v>
      </c>
      <c r="G4" s="6">
        <f t="shared" si="1"/>
        <v>182519.2</v>
      </c>
      <c r="H4" s="6">
        <f t="shared" si="2"/>
        <v>13.62455716</v>
      </c>
      <c r="I4" s="6">
        <f t="shared" si="3"/>
        <v>674.5964094</v>
      </c>
      <c r="J4" s="6">
        <v>788.644055950733</v>
      </c>
      <c r="K4" s="7">
        <f t="shared" si="4"/>
        <v>804.761445</v>
      </c>
      <c r="N4" s="4"/>
      <c r="O4" s="4"/>
      <c r="P4" s="4"/>
      <c r="Q4" s="4" t="s">
        <v>24</v>
      </c>
      <c r="R4" s="4">
        <v>0.14</v>
      </c>
    </row>
    <row r="5" ht="22.5" customHeight="1">
      <c r="A5" s="5" t="s">
        <v>25</v>
      </c>
      <c r="B5" s="5" t="s">
        <v>19</v>
      </c>
      <c r="C5" s="5">
        <v>228741.0</v>
      </c>
      <c r="D5" s="5">
        <v>228111.0</v>
      </c>
      <c r="E5" s="5">
        <v>400.0</v>
      </c>
      <c r="F5" s="5">
        <v>61.0</v>
      </c>
      <c r="G5" s="6">
        <f t="shared" si="1"/>
        <v>182488.8</v>
      </c>
      <c r="H5" s="6">
        <f t="shared" si="2"/>
        <v>14.07258119</v>
      </c>
      <c r="I5" s="6">
        <f t="shared" si="3"/>
        <v>674.5177559</v>
      </c>
      <c r="J5" s="6">
        <v>788.5521052692401</v>
      </c>
      <c r="K5" s="7">
        <f t="shared" si="4"/>
        <v>805.1975506</v>
      </c>
      <c r="N5" s="4"/>
      <c r="O5" s="4"/>
      <c r="P5" s="4"/>
      <c r="Q5" s="4" t="s">
        <v>26</v>
      </c>
      <c r="R5" s="4">
        <v>0.2</v>
      </c>
    </row>
    <row r="6" ht="22.5" customHeight="1">
      <c r="A6" s="5" t="s">
        <v>27</v>
      </c>
      <c r="B6" s="5" t="s">
        <v>19</v>
      </c>
      <c r="C6" s="5">
        <v>219688.0</v>
      </c>
      <c r="D6" s="5">
        <v>198937.0</v>
      </c>
      <c r="E6" s="5">
        <v>400.0</v>
      </c>
      <c r="F6" s="5">
        <v>59.0</v>
      </c>
      <c r="G6" s="6">
        <f t="shared" si="1"/>
        <v>159149.6</v>
      </c>
      <c r="H6" s="6">
        <f t="shared" si="2"/>
        <v>13.11894</v>
      </c>
      <c r="I6" s="6">
        <f t="shared" si="3"/>
        <v>612.9032463</v>
      </c>
      <c r="J6" s="6">
        <v>716.5210122633707</v>
      </c>
      <c r="K6" s="7">
        <f t="shared" si="4"/>
        <v>730.6210065</v>
      </c>
      <c r="N6" s="4"/>
      <c r="O6" s="4"/>
      <c r="P6" s="4"/>
      <c r="Q6" s="4" t="s">
        <v>18</v>
      </c>
      <c r="R6" s="4">
        <v>0.12</v>
      </c>
    </row>
    <row r="7" ht="22.5" customHeight="1">
      <c r="A7" s="5" t="s">
        <v>28</v>
      </c>
      <c r="B7" s="5" t="s">
        <v>19</v>
      </c>
      <c r="C7" s="5">
        <v>214286.0</v>
      </c>
      <c r="D7" s="5">
        <v>190326.0</v>
      </c>
      <c r="E7" s="5">
        <v>399.0</v>
      </c>
      <c r="F7" s="5">
        <v>59.0</v>
      </c>
      <c r="G7" s="6">
        <f t="shared" si="1"/>
        <v>152260.8</v>
      </c>
      <c r="H7" s="6">
        <f t="shared" si="2"/>
        <v>12.58254225</v>
      </c>
      <c r="I7" s="6">
        <f t="shared" si="3"/>
        <v>594.2096641</v>
      </c>
      <c r="J7" s="6">
        <v>694.6670825316271</v>
      </c>
      <c r="K7" s="7">
        <f t="shared" si="4"/>
        <v>707.7780994</v>
      </c>
    </row>
    <row r="8" ht="22.5" customHeight="1">
      <c r="A8" s="5" t="s">
        <v>29</v>
      </c>
      <c r="B8" s="5" t="s">
        <v>19</v>
      </c>
      <c r="C8" s="5">
        <v>210691.0</v>
      </c>
      <c r="D8" s="5">
        <v>189766.0</v>
      </c>
      <c r="E8" s="5">
        <v>400.0</v>
      </c>
      <c r="F8" s="5">
        <v>58.0</v>
      </c>
      <c r="G8" s="6">
        <f t="shared" si="1"/>
        <v>151812.8</v>
      </c>
      <c r="H8" s="6">
        <f t="shared" si="2"/>
        <v>12.94939924</v>
      </c>
      <c r="I8" s="6">
        <f t="shared" si="3"/>
        <v>592.9852748</v>
      </c>
      <c r="J8" s="6">
        <v>693.2356972605721</v>
      </c>
      <c r="K8" s="7">
        <f t="shared" si="4"/>
        <v>706.701176</v>
      </c>
      <c r="N8" s="4"/>
      <c r="O8" s="4"/>
      <c r="P8" s="4"/>
      <c r="Q8" s="4" t="s">
        <v>30</v>
      </c>
    </row>
    <row r="9" ht="22.5" customHeight="1">
      <c r="A9" s="5" t="s">
        <v>31</v>
      </c>
      <c r="B9" s="5" t="s">
        <v>24</v>
      </c>
      <c r="C9" s="5">
        <v>203953.0</v>
      </c>
      <c r="D9" s="5">
        <v>398997.0</v>
      </c>
      <c r="E9" s="5">
        <v>362.0</v>
      </c>
      <c r="F9" s="5">
        <v>65.0</v>
      </c>
      <c r="G9" s="6">
        <f t="shared" si="1"/>
        <v>319197.6</v>
      </c>
      <c r="H9" s="6">
        <f t="shared" si="2"/>
        <v>23.95419289</v>
      </c>
      <c r="I9" s="6">
        <f t="shared" si="3"/>
        <v>997.6306141</v>
      </c>
      <c r="J9" s="6">
        <v>1166.2906041651263</v>
      </c>
      <c r="K9" s="7">
        <f t="shared" si="4"/>
        <v>1208.196929</v>
      </c>
      <c r="N9" s="4"/>
      <c r="O9" s="4"/>
      <c r="P9" s="4"/>
      <c r="Q9" s="4" t="s">
        <v>32</v>
      </c>
    </row>
    <row r="10" ht="22.5" customHeight="1">
      <c r="A10" s="5" t="s">
        <v>33</v>
      </c>
      <c r="B10" s="5" t="s">
        <v>24</v>
      </c>
      <c r="C10" s="5">
        <v>201705.0</v>
      </c>
      <c r="D10" s="5">
        <v>400694.0</v>
      </c>
      <c r="E10" s="5">
        <v>360.0</v>
      </c>
      <c r="F10" s="5">
        <v>65.0</v>
      </c>
      <c r="G10" s="6">
        <f t="shared" si="1"/>
        <v>320555.2</v>
      </c>
      <c r="H10" s="6">
        <f t="shared" si="2"/>
        <v>24.18971888</v>
      </c>
      <c r="I10" s="6">
        <f t="shared" si="3"/>
        <v>1000.598884</v>
      </c>
      <c r="J10" s="6">
        <v>1169.760691309122</v>
      </c>
      <c r="K10" s="7">
        <f t="shared" si="4"/>
        <v>1212.204965</v>
      </c>
      <c r="N10" s="4"/>
      <c r="O10" s="4"/>
      <c r="P10" s="4"/>
      <c r="Q10" s="4" t="s">
        <v>34</v>
      </c>
    </row>
    <row r="11" ht="22.5" customHeight="1">
      <c r="A11" s="5" t="s">
        <v>35</v>
      </c>
      <c r="B11" s="5" t="s">
        <v>19</v>
      </c>
      <c r="C11" s="5">
        <v>195636.0</v>
      </c>
      <c r="D11" s="5">
        <v>199744.0</v>
      </c>
      <c r="E11" s="5">
        <v>400.0</v>
      </c>
      <c r="F11" s="5">
        <v>59.0</v>
      </c>
      <c r="G11" s="6">
        <f t="shared" si="1"/>
        <v>159795.2</v>
      </c>
      <c r="H11" s="6">
        <f t="shared" si="2"/>
        <v>13.17215777</v>
      </c>
      <c r="I11" s="6">
        <f t="shared" si="3"/>
        <v>614.6425846</v>
      </c>
      <c r="J11" s="6">
        <v>718.5544040410997</v>
      </c>
      <c r="K11" s="7">
        <f t="shared" si="4"/>
        <v>732.751772</v>
      </c>
      <c r="N11" s="4"/>
      <c r="O11" s="4"/>
      <c r="P11" s="4"/>
      <c r="Q11" s="4" t="s">
        <v>36</v>
      </c>
    </row>
    <row r="12" ht="22.5" customHeight="1">
      <c r="A12" s="5" t="s">
        <v>37</v>
      </c>
      <c r="B12" s="5" t="s">
        <v>19</v>
      </c>
      <c r="C12" s="5">
        <v>194849.0</v>
      </c>
      <c r="D12" s="5">
        <v>213971.0</v>
      </c>
      <c r="E12" s="5">
        <v>399.0</v>
      </c>
      <c r="F12" s="5">
        <v>59.0</v>
      </c>
      <c r="G12" s="6">
        <f t="shared" si="1"/>
        <v>171176.8</v>
      </c>
      <c r="H12" s="6">
        <f t="shared" si="2"/>
        <v>14.14572443</v>
      </c>
      <c r="I12" s="6">
        <f t="shared" si="3"/>
        <v>644.9699311</v>
      </c>
      <c r="J12" s="6">
        <v>754.0089086990429</v>
      </c>
      <c r="K12" s="7">
        <f t="shared" si="4"/>
        <v>770.0079121</v>
      </c>
    </row>
    <row r="13" ht="22.5" customHeight="1">
      <c r="A13" s="5" t="s">
        <v>38</v>
      </c>
      <c r="B13" s="5" t="s">
        <v>19</v>
      </c>
      <c r="C13" s="5">
        <v>194250.0</v>
      </c>
      <c r="D13" s="5">
        <v>202036.0</v>
      </c>
      <c r="E13" s="5">
        <v>400.0</v>
      </c>
      <c r="F13" s="5">
        <v>59.0</v>
      </c>
      <c r="G13" s="6">
        <f t="shared" si="1"/>
        <v>161628.8</v>
      </c>
      <c r="H13" s="6">
        <f t="shared" si="2"/>
        <v>13.32330417</v>
      </c>
      <c r="I13" s="6">
        <f t="shared" si="3"/>
        <v>619.5711112</v>
      </c>
      <c r="J13" s="6">
        <v>724.3161500812942</v>
      </c>
      <c r="K13" s="7">
        <f t="shared" si="4"/>
        <v>738.7915767</v>
      </c>
    </row>
    <row r="14" ht="22.5" customHeight="1">
      <c r="A14" s="5" t="s">
        <v>39</v>
      </c>
      <c r="B14" s="5" t="s">
        <v>40</v>
      </c>
      <c r="C14" s="5">
        <v>186364.0</v>
      </c>
      <c r="D14" s="5">
        <v>13000.0</v>
      </c>
      <c r="E14" s="5">
        <v>337.0</v>
      </c>
      <c r="F14" s="5">
        <v>42.0</v>
      </c>
      <c r="G14" s="6">
        <f t="shared" si="1"/>
        <v>10400</v>
      </c>
      <c r="H14" s="6">
        <f t="shared" si="2"/>
        <v>2.007992408</v>
      </c>
      <c r="I14" s="6">
        <f t="shared" si="3"/>
        <v>77.82239346</v>
      </c>
      <c r="J14" s="6">
        <v>90.97909085674371</v>
      </c>
      <c r="K14" s="7">
        <f t="shared" si="4"/>
        <v>91.25311884</v>
      </c>
    </row>
    <row r="15" ht="22.5" customHeight="1">
      <c r="A15" s="5" t="s">
        <v>41</v>
      </c>
      <c r="B15" s="5" t="s">
        <v>19</v>
      </c>
      <c r="C15" s="5">
        <v>176490.0</v>
      </c>
      <c r="D15" s="5">
        <v>186766.0</v>
      </c>
      <c r="E15" s="5">
        <v>399.0</v>
      </c>
      <c r="F15" s="5">
        <v>54.0</v>
      </c>
      <c r="G15" s="6">
        <f t="shared" si="1"/>
        <v>149412.8</v>
      </c>
      <c r="H15" s="6">
        <f t="shared" si="2"/>
        <v>14.73956267</v>
      </c>
      <c r="I15" s="6">
        <f t="shared" si="3"/>
        <v>586.4074766</v>
      </c>
      <c r="J15" s="6">
        <v>685.5458528314964</v>
      </c>
      <c r="K15" s="7">
        <f t="shared" si="4"/>
        <v>700.7028219</v>
      </c>
    </row>
    <row r="16" ht="22.5" customHeight="1">
      <c r="A16" s="5" t="s">
        <v>42</v>
      </c>
      <c r="B16" s="5" t="s">
        <v>40</v>
      </c>
      <c r="C16" s="5">
        <v>171598.0</v>
      </c>
      <c r="D16" s="5">
        <v>12200.0</v>
      </c>
      <c r="E16" s="5">
        <v>316.0</v>
      </c>
      <c r="F16" s="5">
        <v>43.0</v>
      </c>
      <c r="G16" s="6">
        <f t="shared" si="1"/>
        <v>9760</v>
      </c>
      <c r="H16" s="6">
        <f t="shared" si="2"/>
        <v>1.917268923</v>
      </c>
      <c r="I16" s="6">
        <f t="shared" si="3"/>
        <v>74.4382438</v>
      </c>
      <c r="J16" s="6">
        <v>87.022814969561</v>
      </c>
      <c r="K16" s="7">
        <f t="shared" si="4"/>
        <v>87.27308418</v>
      </c>
    </row>
    <row r="17" ht="22.5" customHeight="1">
      <c r="A17" s="5" t="s">
        <v>43</v>
      </c>
      <c r="B17" s="5" t="s">
        <v>22</v>
      </c>
      <c r="C17" s="5">
        <v>169919.0</v>
      </c>
      <c r="D17" s="5">
        <v>319471.0</v>
      </c>
      <c r="E17" s="5">
        <v>340.0</v>
      </c>
      <c r="F17" s="5">
        <v>60.0</v>
      </c>
      <c r="G17" s="6">
        <f t="shared" si="1"/>
        <v>255576.8</v>
      </c>
      <c r="H17" s="6">
        <f t="shared" si="2"/>
        <v>23.96609184</v>
      </c>
      <c r="I17" s="6">
        <f t="shared" si="3"/>
        <v>853.8725169</v>
      </c>
      <c r="J17" s="6">
        <v>998.2286825826378</v>
      </c>
      <c r="K17" s="7">
        <f t="shared" si="4"/>
        <v>1034.114143</v>
      </c>
    </row>
    <row r="18" ht="22.5" customHeight="1">
      <c r="A18" s="5" t="s">
        <v>44</v>
      </c>
      <c r="B18" s="5" t="s">
        <v>45</v>
      </c>
      <c r="C18" s="5">
        <v>168189.0</v>
      </c>
      <c r="D18" s="5">
        <v>154940.0</v>
      </c>
      <c r="E18" s="5">
        <v>345.0</v>
      </c>
      <c r="F18" s="5">
        <v>55.0</v>
      </c>
      <c r="G18" s="6">
        <f t="shared" si="1"/>
        <v>123952</v>
      </c>
      <c r="H18" s="6">
        <f t="shared" si="2"/>
        <v>13.63221018</v>
      </c>
      <c r="I18" s="6">
        <f t="shared" si="3"/>
        <v>514.5238524</v>
      </c>
      <c r="J18" s="6">
        <v>601.509542958949</v>
      </c>
      <c r="K18" s="7">
        <f t="shared" si="4"/>
        <v>613.8093997</v>
      </c>
    </row>
    <row r="19" ht="22.5" customHeight="1">
      <c r="A19" s="5" t="s">
        <v>46</v>
      </c>
      <c r="B19" s="5" t="s">
        <v>22</v>
      </c>
      <c r="C19" s="5">
        <v>166231.0</v>
      </c>
      <c r="D19" s="5">
        <v>318473.0</v>
      </c>
      <c r="E19" s="5">
        <v>333.0</v>
      </c>
      <c r="F19" s="5">
        <v>60.0</v>
      </c>
      <c r="G19" s="6">
        <f t="shared" si="1"/>
        <v>254778.4</v>
      </c>
      <c r="H19" s="6">
        <f t="shared" si="2"/>
        <v>24.39344174</v>
      </c>
      <c r="I19" s="6">
        <f t="shared" si="3"/>
        <v>852.0044436</v>
      </c>
      <c r="J19" s="6">
        <v>996.0447917884051</v>
      </c>
      <c r="K19" s="7">
        <f t="shared" si="4"/>
        <v>1032.490233</v>
      </c>
    </row>
    <row r="20" ht="22.5" customHeight="1">
      <c r="A20" s="5" t="s">
        <v>47</v>
      </c>
      <c r="B20" s="5" t="s">
        <v>22</v>
      </c>
      <c r="C20" s="5">
        <v>165209.0</v>
      </c>
      <c r="D20" s="5">
        <v>318607.0</v>
      </c>
      <c r="E20" s="5">
        <v>333.0</v>
      </c>
      <c r="F20" s="5">
        <v>60.0</v>
      </c>
      <c r="G20" s="6">
        <f t="shared" si="1"/>
        <v>254885.6</v>
      </c>
      <c r="H20" s="6">
        <f t="shared" si="2"/>
        <v>24.40370547</v>
      </c>
      <c r="I20" s="6">
        <f t="shared" si="3"/>
        <v>852.255369</v>
      </c>
      <c r="J20" s="6">
        <v>996.3381388096516</v>
      </c>
      <c r="K20" s="7">
        <f t="shared" si="4"/>
        <v>1032.809653</v>
      </c>
    </row>
    <row r="21" ht="22.5" customHeight="1">
      <c r="A21" s="5" t="s">
        <v>48</v>
      </c>
      <c r="B21" s="5" t="s">
        <v>22</v>
      </c>
      <c r="C21" s="5">
        <v>164680.0</v>
      </c>
      <c r="D21" s="5">
        <v>317960.0</v>
      </c>
      <c r="E21" s="5">
        <v>333.0</v>
      </c>
      <c r="F21" s="5">
        <v>60.0</v>
      </c>
      <c r="G21" s="6">
        <f t="shared" si="1"/>
        <v>254368</v>
      </c>
      <c r="H21" s="6">
        <f t="shared" si="2"/>
        <v>24.35414851</v>
      </c>
      <c r="I21" s="6">
        <f t="shared" si="3"/>
        <v>851.0435183</v>
      </c>
      <c r="J21" s="6">
        <v>994.9214118839881</v>
      </c>
      <c r="K21" s="7">
        <f t="shared" si="4"/>
        <v>1031.267108</v>
      </c>
    </row>
    <row r="22" ht="22.5" customHeight="1">
      <c r="A22" s="5" t="s">
        <v>49</v>
      </c>
      <c r="B22" s="5" t="s">
        <v>22</v>
      </c>
      <c r="C22" s="5">
        <v>164241.0</v>
      </c>
      <c r="D22" s="5">
        <v>319999.0</v>
      </c>
      <c r="E22" s="5">
        <v>333.0</v>
      </c>
      <c r="F22" s="5">
        <v>60.0</v>
      </c>
      <c r="G22" s="6">
        <f t="shared" si="1"/>
        <v>255999.2</v>
      </c>
      <c r="H22" s="6">
        <f t="shared" si="2"/>
        <v>24.51032573</v>
      </c>
      <c r="I22" s="6">
        <f t="shared" si="3"/>
        <v>854.860128</v>
      </c>
      <c r="J22" s="6">
        <v>999.3832597472503</v>
      </c>
      <c r="K22" s="7">
        <f t="shared" si="4"/>
        <v>1036.126074</v>
      </c>
    </row>
    <row r="23" ht="22.5" customHeight="1">
      <c r="A23" s="5" t="s">
        <v>50</v>
      </c>
      <c r="B23" s="5" t="s">
        <v>22</v>
      </c>
      <c r="C23" s="5">
        <v>163882.0</v>
      </c>
      <c r="D23" s="5">
        <v>300361.0</v>
      </c>
      <c r="E23" s="5">
        <v>340.0</v>
      </c>
      <c r="F23" s="5">
        <v>56.0</v>
      </c>
      <c r="G23" s="6">
        <f t="shared" si="1"/>
        <v>240288.8</v>
      </c>
      <c r="H23" s="6">
        <f t="shared" si="2"/>
        <v>25.86638673</v>
      </c>
      <c r="I23" s="6">
        <f t="shared" si="3"/>
        <v>817.7894539</v>
      </c>
      <c r="J23" s="6">
        <v>956.0453967935126</v>
      </c>
      <c r="K23" s="7">
        <f t="shared" si="4"/>
        <v>993.1395567</v>
      </c>
    </row>
    <row r="24" ht="22.5" customHeight="1">
      <c r="A24" s="5" t="s">
        <v>51</v>
      </c>
      <c r="B24" s="5" t="s">
        <v>22</v>
      </c>
      <c r="C24" s="5">
        <v>163214.0</v>
      </c>
      <c r="D24" s="5">
        <v>318608.0</v>
      </c>
      <c r="E24" s="5">
        <v>336.0</v>
      </c>
      <c r="F24" s="5">
        <v>60.0</v>
      </c>
      <c r="G24" s="6">
        <f t="shared" si="1"/>
        <v>254886.4</v>
      </c>
      <c r="H24" s="6">
        <f t="shared" si="2"/>
        <v>24.18589116</v>
      </c>
      <c r="I24" s="6">
        <f t="shared" si="3"/>
        <v>852.2572415</v>
      </c>
      <c r="J24" s="6">
        <v>996.3403278273719</v>
      </c>
      <c r="K24" s="7">
        <f t="shared" si="4"/>
        <v>1032.486396</v>
      </c>
    </row>
    <row r="25" ht="22.5" customHeight="1">
      <c r="A25" s="5" t="s">
        <v>52</v>
      </c>
      <c r="B25" s="5" t="s">
        <v>22</v>
      </c>
      <c r="C25" s="5">
        <v>162863.0</v>
      </c>
      <c r="D25" s="5">
        <v>319287.0</v>
      </c>
      <c r="E25" s="5">
        <v>333.0</v>
      </c>
      <c r="F25" s="5">
        <v>60.0</v>
      </c>
      <c r="G25" s="6">
        <f t="shared" si="1"/>
        <v>255429.6</v>
      </c>
      <c r="H25" s="6">
        <f t="shared" si="2"/>
        <v>24.45579008</v>
      </c>
      <c r="I25" s="6">
        <f t="shared" si="3"/>
        <v>853.5282344</v>
      </c>
      <c r="J25" s="6">
        <v>997.8261954561862</v>
      </c>
      <c r="K25" s="7">
        <f t="shared" si="4"/>
        <v>1034.430137</v>
      </c>
    </row>
    <row r="26" ht="22.5" customHeight="1">
      <c r="A26" s="5" t="s">
        <v>53</v>
      </c>
      <c r="B26" s="5" t="s">
        <v>22</v>
      </c>
      <c r="C26" s="5">
        <v>162557.0</v>
      </c>
      <c r="D26" s="5">
        <v>320105.0</v>
      </c>
      <c r="E26" s="5">
        <v>333.0</v>
      </c>
      <c r="F26" s="5">
        <v>60.0</v>
      </c>
      <c r="G26" s="6">
        <f t="shared" si="1"/>
        <v>256084</v>
      </c>
      <c r="H26" s="6">
        <f t="shared" si="2"/>
        <v>24.5184448</v>
      </c>
      <c r="I26" s="6">
        <f t="shared" si="3"/>
        <v>855.0583394</v>
      </c>
      <c r="J26" s="6">
        <v>999.614980952166</v>
      </c>
      <c r="K26" s="7">
        <f t="shared" si="4"/>
        <v>1036.378488</v>
      </c>
    </row>
    <row r="27" ht="22.5" customHeight="1">
      <c r="A27" s="5" t="s">
        <v>54</v>
      </c>
      <c r="B27" s="5" t="s">
        <v>22</v>
      </c>
      <c r="C27" s="5">
        <v>162252.0</v>
      </c>
      <c r="D27" s="5">
        <v>319430.0</v>
      </c>
      <c r="E27" s="5">
        <v>332.0</v>
      </c>
      <c r="F27" s="5">
        <v>60.0</v>
      </c>
      <c r="G27" s="6">
        <f t="shared" si="1"/>
        <v>255544</v>
      </c>
      <c r="H27" s="6">
        <f t="shared" si="2"/>
        <v>24.54043818</v>
      </c>
      <c r="I27" s="6">
        <f t="shared" si="3"/>
        <v>853.7958069</v>
      </c>
      <c r="J27" s="6">
        <v>998.1390039741457</v>
      </c>
      <c r="K27" s="7">
        <f t="shared" si="4"/>
        <v>1034.881157</v>
      </c>
    </row>
    <row r="28" ht="22.5" customHeight="1">
      <c r="A28" s="5" t="s">
        <v>55</v>
      </c>
      <c r="B28" s="5" t="s">
        <v>22</v>
      </c>
      <c r="C28" s="5">
        <v>162018.0</v>
      </c>
      <c r="D28" s="5">
        <v>320105.0</v>
      </c>
      <c r="E28" s="5">
        <v>333.0</v>
      </c>
      <c r="F28" s="5">
        <v>60.0</v>
      </c>
      <c r="G28" s="6">
        <f t="shared" si="1"/>
        <v>256084</v>
      </c>
      <c r="H28" s="6">
        <f t="shared" si="2"/>
        <v>24.5184448</v>
      </c>
      <c r="I28" s="6">
        <f t="shared" si="3"/>
        <v>855.0583394</v>
      </c>
      <c r="J28" s="6">
        <v>999.614980952166</v>
      </c>
      <c r="K28" s="7">
        <f t="shared" si="4"/>
        <v>1036.378488</v>
      </c>
    </row>
    <row r="29" ht="22.5" customHeight="1">
      <c r="A29" s="5" t="s">
        <v>56</v>
      </c>
      <c r="B29" s="5" t="s">
        <v>22</v>
      </c>
      <c r="C29" s="5">
        <v>161632.0</v>
      </c>
      <c r="D29" s="5">
        <v>319180.0</v>
      </c>
      <c r="E29" s="5">
        <v>333.0</v>
      </c>
      <c r="F29" s="5">
        <v>60.0</v>
      </c>
      <c r="G29" s="6">
        <f t="shared" si="1"/>
        <v>255344</v>
      </c>
      <c r="H29" s="6">
        <f t="shared" si="2"/>
        <v>24.44759441</v>
      </c>
      <c r="I29" s="6">
        <f t="shared" si="3"/>
        <v>853.3279992</v>
      </c>
      <c r="J29" s="6">
        <v>997.592108445149</v>
      </c>
      <c r="K29" s="7">
        <f t="shared" si="4"/>
        <v>1034.175199</v>
      </c>
    </row>
    <row r="30" ht="22.5" customHeight="1">
      <c r="A30" s="5" t="s">
        <v>57</v>
      </c>
      <c r="B30" s="5" t="s">
        <v>22</v>
      </c>
      <c r="C30" s="5">
        <v>161319.0</v>
      </c>
      <c r="D30" s="5">
        <v>299989.0</v>
      </c>
      <c r="E30" s="5">
        <v>333.0</v>
      </c>
      <c r="F30" s="5">
        <v>60.0</v>
      </c>
      <c r="G30" s="6">
        <f t="shared" si="1"/>
        <v>239991.2</v>
      </c>
      <c r="H30" s="6">
        <f t="shared" si="2"/>
        <v>22.97765963</v>
      </c>
      <c r="I30" s="6">
        <f t="shared" si="3"/>
        <v>817.0803341</v>
      </c>
      <c r="J30" s="6">
        <v>955.2163927084429</v>
      </c>
      <c r="K30" s="7">
        <f t="shared" si="4"/>
        <v>988.1393484</v>
      </c>
    </row>
    <row r="31" ht="22.5" customHeight="1">
      <c r="A31" s="5" t="s">
        <v>58</v>
      </c>
      <c r="B31" s="5" t="s">
        <v>22</v>
      </c>
      <c r="C31" s="5">
        <v>161175.0</v>
      </c>
      <c r="D31" s="5">
        <v>319247.0</v>
      </c>
      <c r="E31" s="5">
        <v>333.0</v>
      </c>
      <c r="F31" s="5">
        <v>60.0</v>
      </c>
      <c r="G31" s="6">
        <f t="shared" si="1"/>
        <v>255397.6</v>
      </c>
      <c r="H31" s="6">
        <f t="shared" si="2"/>
        <v>24.45272628</v>
      </c>
      <c r="I31" s="6">
        <f t="shared" si="3"/>
        <v>853.4533825</v>
      </c>
      <c r="J31" s="6">
        <v>997.7386890480648</v>
      </c>
      <c r="K31" s="7">
        <f t="shared" si="4"/>
        <v>1034.334836</v>
      </c>
    </row>
    <row r="32" ht="22.5" customHeight="1">
      <c r="A32" s="5" t="s">
        <v>59</v>
      </c>
      <c r="B32" s="5" t="s">
        <v>22</v>
      </c>
      <c r="C32" s="5">
        <v>160874.0</v>
      </c>
      <c r="D32" s="5">
        <v>318676.0</v>
      </c>
      <c r="E32" s="5">
        <v>333.0</v>
      </c>
      <c r="F32" s="5">
        <v>60.0</v>
      </c>
      <c r="G32" s="6">
        <f t="shared" si="1"/>
        <v>254940.8</v>
      </c>
      <c r="H32" s="6">
        <f t="shared" si="2"/>
        <v>24.40899053</v>
      </c>
      <c r="I32" s="6">
        <f t="shared" si="3"/>
        <v>852.3845646</v>
      </c>
      <c r="J32" s="6">
        <v>996.4891761972905</v>
      </c>
      <c r="K32" s="7">
        <f t="shared" si="4"/>
        <v>1032.974118</v>
      </c>
    </row>
    <row r="33" ht="22.5" customHeight="1">
      <c r="A33" s="5" t="s">
        <v>60</v>
      </c>
      <c r="B33" s="5" t="s">
        <v>24</v>
      </c>
      <c r="C33" s="5">
        <v>160666.0</v>
      </c>
      <c r="D33" s="5">
        <v>298450.0</v>
      </c>
      <c r="E33" s="5">
        <v>332.0</v>
      </c>
      <c r="F33" s="5">
        <v>58.0</v>
      </c>
      <c r="G33" s="6">
        <f t="shared" si="1"/>
        <v>238760</v>
      </c>
      <c r="H33" s="6">
        <f t="shared" si="2"/>
        <v>24.53718336</v>
      </c>
      <c r="I33" s="6">
        <f t="shared" si="3"/>
        <v>814.143828</v>
      </c>
      <c r="J33" s="6">
        <v>951.7834392599175</v>
      </c>
      <c r="K33" s="7">
        <f t="shared" si="4"/>
        <v>986.8145664</v>
      </c>
    </row>
    <row r="34" ht="22.5" customHeight="1">
      <c r="A34" s="5" t="s">
        <v>61</v>
      </c>
      <c r="B34" s="5" t="s">
        <v>22</v>
      </c>
      <c r="C34" s="5">
        <v>160493.0</v>
      </c>
      <c r="D34" s="5">
        <v>309988.0</v>
      </c>
      <c r="E34" s="5">
        <v>333.0</v>
      </c>
      <c r="F34" s="5">
        <v>60.0</v>
      </c>
      <c r="G34" s="6">
        <f t="shared" si="1"/>
        <v>247990.4</v>
      </c>
      <c r="H34" s="6">
        <f t="shared" si="2"/>
        <v>23.74353311</v>
      </c>
      <c r="I34" s="6">
        <f t="shared" si="3"/>
        <v>836.0503712</v>
      </c>
      <c r="J34" s="6">
        <v>977.3935149875483</v>
      </c>
      <c r="K34" s="7">
        <f t="shared" si="4"/>
        <v>1012.203678</v>
      </c>
    </row>
    <row r="35" ht="22.5" customHeight="1">
      <c r="A35" s="5" t="s">
        <v>62</v>
      </c>
      <c r="B35" s="5" t="s">
        <v>22</v>
      </c>
      <c r="C35" s="5">
        <v>160299.0</v>
      </c>
      <c r="D35" s="5">
        <v>306474.0</v>
      </c>
      <c r="E35" s="5">
        <v>331.0</v>
      </c>
      <c r="F35" s="5">
        <v>58.0</v>
      </c>
      <c r="G35" s="6">
        <f t="shared" si="1"/>
        <v>245179.2</v>
      </c>
      <c r="H35" s="6">
        <f t="shared" si="2"/>
        <v>25.27300316</v>
      </c>
      <c r="I35" s="6">
        <f t="shared" si="3"/>
        <v>829.4048531</v>
      </c>
      <c r="J35" s="6">
        <v>969.6245018556943</v>
      </c>
      <c r="K35" s="7">
        <f t="shared" si="4"/>
        <v>1006.382487</v>
      </c>
    </row>
    <row r="36" ht="22.5" customHeight="1">
      <c r="A36" s="5" t="s">
        <v>63</v>
      </c>
      <c r="B36" s="5" t="s">
        <v>22</v>
      </c>
      <c r="C36" s="5">
        <v>160216.0</v>
      </c>
      <c r="D36" s="5">
        <v>306397.0</v>
      </c>
      <c r="E36" s="5">
        <v>334.0</v>
      </c>
      <c r="F36" s="5">
        <v>58.0</v>
      </c>
      <c r="G36" s="6">
        <f t="shared" si="1"/>
        <v>245117.6</v>
      </c>
      <c r="H36" s="6">
        <f t="shared" si="2"/>
        <v>25.03970746</v>
      </c>
      <c r="I36" s="6">
        <f t="shared" si="3"/>
        <v>829.258979</v>
      </c>
      <c r="J36" s="6">
        <v>969.4539662458985</v>
      </c>
      <c r="K36" s="7">
        <f t="shared" si="4"/>
        <v>1005.866232</v>
      </c>
    </row>
    <row r="37" ht="22.5" customHeight="1">
      <c r="A37" s="5" t="s">
        <v>64</v>
      </c>
      <c r="B37" s="5" t="s">
        <v>22</v>
      </c>
      <c r="C37" s="5">
        <v>160087.0</v>
      </c>
      <c r="D37" s="5">
        <v>298981.0</v>
      </c>
      <c r="E37" s="5">
        <v>339.0</v>
      </c>
      <c r="F37" s="5">
        <v>60.0</v>
      </c>
      <c r="G37" s="6">
        <f t="shared" si="1"/>
        <v>239184.8</v>
      </c>
      <c r="H37" s="6">
        <f t="shared" si="2"/>
        <v>22.49513413</v>
      </c>
      <c r="I37" s="6">
        <f t="shared" si="3"/>
        <v>815.1575206</v>
      </c>
      <c r="J37" s="6">
        <v>952.9685073156814</v>
      </c>
      <c r="K37" s="7">
        <f t="shared" si="4"/>
        <v>985.1242389</v>
      </c>
    </row>
    <row r="38" ht="22.5" customHeight="1">
      <c r="A38" s="5" t="s">
        <v>65</v>
      </c>
      <c r="B38" s="5" t="s">
        <v>22</v>
      </c>
      <c r="C38" s="5">
        <v>160043.0</v>
      </c>
      <c r="D38" s="5">
        <v>301866.0</v>
      </c>
      <c r="E38" s="5">
        <v>333.0</v>
      </c>
      <c r="F38" s="5">
        <v>60.0</v>
      </c>
      <c r="G38" s="6">
        <f t="shared" si="1"/>
        <v>241492.8</v>
      </c>
      <c r="H38" s="6">
        <f t="shared" si="2"/>
        <v>23.12142846</v>
      </c>
      <c r="I38" s="6">
        <f t="shared" si="3"/>
        <v>820.6556551</v>
      </c>
      <c r="J38" s="6">
        <v>959.3961595824094</v>
      </c>
      <c r="K38" s="7">
        <f t="shared" si="4"/>
        <v>992.6700741</v>
      </c>
    </row>
    <row r="39" ht="22.5" customHeight="1">
      <c r="A39" s="5" t="s">
        <v>66</v>
      </c>
      <c r="B39" s="5" t="s">
        <v>22</v>
      </c>
      <c r="C39" s="5">
        <v>159938.0</v>
      </c>
      <c r="D39" s="5">
        <v>300390.0</v>
      </c>
      <c r="E39" s="5">
        <v>333.0</v>
      </c>
      <c r="F39" s="5">
        <v>60.0</v>
      </c>
      <c r="G39" s="6">
        <f t="shared" si="1"/>
        <v>240312</v>
      </c>
      <c r="H39" s="6">
        <f t="shared" si="2"/>
        <v>23.00837423</v>
      </c>
      <c r="I39" s="6">
        <f t="shared" si="3"/>
        <v>817.8447237</v>
      </c>
      <c r="J39" s="6">
        <v>956.1100105099835</v>
      </c>
      <c r="K39" s="7">
        <f t="shared" si="4"/>
        <v>989.1078159</v>
      </c>
    </row>
    <row r="40" ht="22.5" customHeight="1">
      <c r="A40" s="5" t="s">
        <v>67</v>
      </c>
      <c r="B40" s="5" t="s">
        <v>22</v>
      </c>
      <c r="C40" s="5">
        <v>159843.0</v>
      </c>
      <c r="D40" s="5">
        <v>311003.0</v>
      </c>
      <c r="E40" s="5">
        <v>333.0</v>
      </c>
      <c r="F40" s="5">
        <v>60.0</v>
      </c>
      <c r="G40" s="6">
        <f t="shared" si="1"/>
        <v>248802.4</v>
      </c>
      <c r="H40" s="6">
        <f t="shared" si="2"/>
        <v>23.82127704</v>
      </c>
      <c r="I40" s="6">
        <f t="shared" si="3"/>
        <v>837.9656791</v>
      </c>
      <c r="J40" s="6">
        <v>979.632625867698</v>
      </c>
      <c r="K40" s="7">
        <f t="shared" si="4"/>
        <v>1014.636776</v>
      </c>
    </row>
    <row r="41" ht="22.5" customHeight="1">
      <c r="A41" s="5" t="s">
        <v>68</v>
      </c>
      <c r="B41" s="5" t="s">
        <v>22</v>
      </c>
      <c r="C41" s="5">
        <v>159423.0</v>
      </c>
      <c r="D41" s="5">
        <v>300133.0</v>
      </c>
      <c r="E41" s="5">
        <v>333.0</v>
      </c>
      <c r="F41" s="5">
        <v>60.0</v>
      </c>
      <c r="G41" s="6">
        <f t="shared" si="1"/>
        <v>240106.4</v>
      </c>
      <c r="H41" s="6">
        <f t="shared" si="2"/>
        <v>22.98868931</v>
      </c>
      <c r="I41" s="6">
        <f t="shared" si="3"/>
        <v>817.3548633</v>
      </c>
      <c r="J41" s="6">
        <v>955.5373340796065</v>
      </c>
      <c r="K41" s="7">
        <f t="shared" si="4"/>
        <v>988.4871604</v>
      </c>
    </row>
    <row r="42" ht="22.5" customHeight="1">
      <c r="A42" s="5" t="s">
        <v>69</v>
      </c>
      <c r="B42" s="5" t="s">
        <v>22</v>
      </c>
      <c r="C42" s="5">
        <v>159158.0</v>
      </c>
      <c r="D42" s="5">
        <v>301019.0</v>
      </c>
      <c r="E42" s="5">
        <v>332.0</v>
      </c>
      <c r="F42" s="5">
        <v>58.0</v>
      </c>
      <c r="G42" s="6">
        <f t="shared" si="1"/>
        <v>240815.2</v>
      </c>
      <c r="H42" s="6">
        <f t="shared" si="2"/>
        <v>24.7483947</v>
      </c>
      <c r="I42" s="6">
        <f t="shared" si="3"/>
        <v>819.0431126</v>
      </c>
      <c r="J42" s="6">
        <v>957.5109996662169</v>
      </c>
      <c r="K42" s="7">
        <f t="shared" si="4"/>
        <v>993.0562899</v>
      </c>
    </row>
    <row r="43" ht="22.5" customHeight="1">
      <c r="A43" s="5" t="s">
        <v>70</v>
      </c>
      <c r="B43" s="5" t="s">
        <v>22</v>
      </c>
      <c r="C43" s="5">
        <v>158424.0</v>
      </c>
      <c r="D43" s="5">
        <v>311087.0</v>
      </c>
      <c r="E43" s="5">
        <v>333.0</v>
      </c>
      <c r="F43" s="5">
        <v>60.0</v>
      </c>
      <c r="G43" s="6">
        <f t="shared" si="1"/>
        <v>248869.6</v>
      </c>
      <c r="H43" s="6">
        <f t="shared" si="2"/>
        <v>23.82771102</v>
      </c>
      <c r="I43" s="6">
        <f t="shared" si="3"/>
        <v>838.1241032</v>
      </c>
      <c r="J43" s="6">
        <v>979.8178332932405</v>
      </c>
      <c r="K43" s="7">
        <f t="shared" si="4"/>
        <v>1014.838058</v>
      </c>
    </row>
    <row r="44" ht="22.5" customHeight="1">
      <c r="A44" s="5" t="s">
        <v>71</v>
      </c>
      <c r="B44" s="5" t="s">
        <v>22</v>
      </c>
      <c r="C44" s="5">
        <v>157831.0</v>
      </c>
      <c r="D44" s="5">
        <v>298911.0</v>
      </c>
      <c r="E44" s="5">
        <v>332.0</v>
      </c>
      <c r="F44" s="5">
        <v>58.0</v>
      </c>
      <c r="G44" s="6">
        <f t="shared" si="1"/>
        <v>239128.8</v>
      </c>
      <c r="H44" s="6">
        <f t="shared" si="2"/>
        <v>24.57508465</v>
      </c>
      <c r="I44" s="6">
        <f t="shared" si="3"/>
        <v>815.0239197</v>
      </c>
      <c r="J44" s="6">
        <v>952.8123198089967</v>
      </c>
      <c r="K44" s="7">
        <f t="shared" si="4"/>
        <v>987.9354849</v>
      </c>
    </row>
    <row r="45" ht="22.5" customHeight="1">
      <c r="A45" s="5" t="s">
        <v>72</v>
      </c>
      <c r="B45" s="5" t="s">
        <v>22</v>
      </c>
      <c r="C45" s="5">
        <v>157351.0</v>
      </c>
      <c r="D45" s="5">
        <v>296887.0</v>
      </c>
      <c r="E45" s="5">
        <v>330.0</v>
      </c>
      <c r="F45" s="5">
        <v>60.0</v>
      </c>
      <c r="G45" s="6">
        <f t="shared" si="1"/>
        <v>237509.6</v>
      </c>
      <c r="H45" s="6">
        <f t="shared" si="2"/>
        <v>22.94678975</v>
      </c>
      <c r="I45" s="6">
        <f t="shared" si="3"/>
        <v>811.1568751</v>
      </c>
      <c r="J45" s="6">
        <v>948.2915104222894</v>
      </c>
      <c r="K45" s="7">
        <f t="shared" si="4"/>
        <v>980.9318793</v>
      </c>
    </row>
    <row r="46" ht="22.5" customHeight="1">
      <c r="A46" s="5" t="s">
        <v>73</v>
      </c>
      <c r="B46" s="5" t="s">
        <v>22</v>
      </c>
      <c r="C46" s="5">
        <v>157052.0</v>
      </c>
      <c r="D46" s="5">
        <v>297058.0</v>
      </c>
      <c r="E46" s="5">
        <v>330.0</v>
      </c>
      <c r="F46" s="5">
        <v>60.0</v>
      </c>
      <c r="G46" s="6">
        <f t="shared" si="1"/>
        <v>237646.4</v>
      </c>
      <c r="H46" s="6">
        <f t="shared" si="2"/>
        <v>22.96000657</v>
      </c>
      <c r="I46" s="6">
        <f t="shared" si="3"/>
        <v>811.483892</v>
      </c>
      <c r="J46" s="6">
        <v>948.6738130806551</v>
      </c>
      <c r="K46" s="7">
        <f t="shared" si="4"/>
        <v>981.3461486</v>
      </c>
    </row>
    <row r="47" ht="22.5" customHeight="1">
      <c r="A47" s="5" t="s">
        <v>74</v>
      </c>
      <c r="B47" s="5" t="s">
        <v>22</v>
      </c>
      <c r="C47" s="5">
        <v>156921.0</v>
      </c>
      <c r="D47" s="5">
        <v>297934.0</v>
      </c>
      <c r="E47" s="5">
        <v>330.0</v>
      </c>
      <c r="F47" s="5">
        <v>60.0</v>
      </c>
      <c r="G47" s="6">
        <f t="shared" si="1"/>
        <v>238347.2</v>
      </c>
      <c r="H47" s="6">
        <f t="shared" si="2"/>
        <v>23.02771377</v>
      </c>
      <c r="I47" s="6">
        <f t="shared" si="3"/>
        <v>813.1582523</v>
      </c>
      <c r="J47" s="6">
        <v>950.6312415648722</v>
      </c>
      <c r="K47" s="7">
        <f t="shared" si="4"/>
        <v>983.4675378</v>
      </c>
    </row>
    <row r="48" ht="22.5" customHeight="1">
      <c r="A48" s="5" t="s">
        <v>75</v>
      </c>
      <c r="B48" s="5" t="s">
        <v>22</v>
      </c>
      <c r="C48" s="5">
        <v>156809.0</v>
      </c>
      <c r="D48" s="5">
        <v>298732.0</v>
      </c>
      <c r="E48" s="5">
        <v>332.0</v>
      </c>
      <c r="F48" s="5">
        <v>58.0</v>
      </c>
      <c r="G48" s="6">
        <f t="shared" si="1"/>
        <v>238985.6</v>
      </c>
      <c r="H48" s="6">
        <f t="shared" si="2"/>
        <v>24.5603681</v>
      </c>
      <c r="I48" s="6">
        <f t="shared" si="3"/>
        <v>814.6822405</v>
      </c>
      <c r="J48" s="6">
        <v>952.4128761265788</v>
      </c>
      <c r="K48" s="7">
        <f t="shared" si="4"/>
        <v>987.5002924</v>
      </c>
    </row>
    <row r="49" ht="22.5" customHeight="1">
      <c r="A49" s="5" t="s">
        <v>76</v>
      </c>
      <c r="B49" s="5" t="s">
        <v>77</v>
      </c>
      <c r="C49" s="5">
        <v>156510.0</v>
      </c>
      <c r="D49" s="5">
        <v>265869.0</v>
      </c>
      <c r="E49" s="5">
        <v>338.0</v>
      </c>
      <c r="F49" s="5">
        <v>51.0</v>
      </c>
      <c r="G49" s="6">
        <f t="shared" si="1"/>
        <v>212695.2</v>
      </c>
      <c r="H49" s="6">
        <f t="shared" si="2"/>
        <v>27.76884686</v>
      </c>
      <c r="I49" s="6">
        <f t="shared" si="3"/>
        <v>750.8590472</v>
      </c>
      <c r="J49" s="6">
        <v>877.7996980803249</v>
      </c>
      <c r="K49" s="7">
        <f t="shared" si="4"/>
        <v>914.3629262</v>
      </c>
    </row>
    <row r="50" ht="22.5" customHeight="1">
      <c r="A50" s="5" t="s">
        <v>78</v>
      </c>
      <c r="B50" s="5" t="s">
        <v>24</v>
      </c>
      <c r="C50" s="5">
        <v>156352.0</v>
      </c>
      <c r="D50" s="5">
        <v>279022.0</v>
      </c>
      <c r="E50" s="5">
        <v>330.0</v>
      </c>
      <c r="F50" s="5">
        <v>56.0</v>
      </c>
      <c r="G50" s="6">
        <f t="shared" si="1"/>
        <v>223217.6</v>
      </c>
      <c r="H50" s="6">
        <f t="shared" si="2"/>
        <v>24.75686505</v>
      </c>
      <c r="I50" s="6">
        <f t="shared" si="3"/>
        <v>776.6725207</v>
      </c>
      <c r="J50" s="6">
        <v>907.9772117966654</v>
      </c>
      <c r="K50" s="7">
        <f t="shared" si="4"/>
        <v>941.6952158</v>
      </c>
    </row>
    <row r="51" ht="22.5" customHeight="1">
      <c r="A51" s="5" t="s">
        <v>79</v>
      </c>
      <c r="B51" s="5" t="s">
        <v>22</v>
      </c>
      <c r="C51" s="5">
        <v>156186.0</v>
      </c>
      <c r="D51" s="5">
        <v>300000.0</v>
      </c>
      <c r="E51" s="5">
        <v>336.0</v>
      </c>
      <c r="F51" s="5">
        <v>60.0</v>
      </c>
      <c r="G51" s="6">
        <f t="shared" si="1"/>
        <v>240000</v>
      </c>
      <c r="H51" s="6">
        <f t="shared" si="2"/>
        <v>22.77333698</v>
      </c>
      <c r="I51" s="6">
        <f t="shared" si="3"/>
        <v>817.1013064</v>
      </c>
      <c r="J51" s="6">
        <v>955.2409106933343</v>
      </c>
      <c r="K51" s="7">
        <f t="shared" si="4"/>
        <v>987.8719454</v>
      </c>
    </row>
    <row r="52" ht="22.5" customHeight="1">
      <c r="A52" s="5" t="s">
        <v>80</v>
      </c>
      <c r="B52" s="5" t="s">
        <v>22</v>
      </c>
      <c r="C52" s="5">
        <v>154792.0</v>
      </c>
      <c r="D52" s="5">
        <v>299999.0</v>
      </c>
      <c r="E52" s="5">
        <v>330.0</v>
      </c>
      <c r="F52" s="5">
        <v>60.0</v>
      </c>
      <c r="G52" s="6">
        <f t="shared" si="1"/>
        <v>239999.2</v>
      </c>
      <c r="H52" s="6">
        <f t="shared" si="2"/>
        <v>23.18732036</v>
      </c>
      <c r="I52" s="6">
        <f t="shared" si="3"/>
        <v>817.0993999</v>
      </c>
      <c r="J52" s="6">
        <v>955.2386817967615</v>
      </c>
      <c r="K52" s="7">
        <f t="shared" si="4"/>
        <v>988.4628198</v>
      </c>
    </row>
    <row r="53" ht="22.5" customHeight="1">
      <c r="A53" s="5" t="s">
        <v>81</v>
      </c>
      <c r="B53" s="5" t="s">
        <v>22</v>
      </c>
      <c r="C53" s="5">
        <v>154379.0</v>
      </c>
      <c r="D53" s="5">
        <v>299320.0</v>
      </c>
      <c r="E53" s="5">
        <v>333.0</v>
      </c>
      <c r="F53" s="5">
        <v>60.0</v>
      </c>
      <c r="G53" s="6">
        <f t="shared" si="1"/>
        <v>239456</v>
      </c>
      <c r="H53" s="6">
        <f t="shared" si="2"/>
        <v>22.92641757</v>
      </c>
      <c r="I53" s="6">
        <f t="shared" si="3"/>
        <v>815.8043978</v>
      </c>
      <c r="J53" s="6">
        <v>953.7247459542508</v>
      </c>
      <c r="K53" s="7">
        <f t="shared" si="4"/>
        <v>986.5229836</v>
      </c>
    </row>
    <row r="54" ht="22.5" customHeight="1">
      <c r="A54" s="5" t="s">
        <v>82</v>
      </c>
      <c r="B54" s="5" t="s">
        <v>22</v>
      </c>
      <c r="C54" s="5">
        <v>154182.0</v>
      </c>
      <c r="D54" s="5">
        <v>299271.0</v>
      </c>
      <c r="E54" s="5">
        <v>333.0</v>
      </c>
      <c r="F54" s="5">
        <v>60.0</v>
      </c>
      <c r="G54" s="6">
        <f t="shared" si="1"/>
        <v>239416.8</v>
      </c>
      <c r="H54" s="6">
        <f t="shared" si="2"/>
        <v>22.92266441</v>
      </c>
      <c r="I54" s="6">
        <f t="shared" si="3"/>
        <v>815.71091</v>
      </c>
      <c r="J54" s="6">
        <v>953.6154530165034</v>
      </c>
      <c r="K54" s="7">
        <f t="shared" si="4"/>
        <v>986.4045635</v>
      </c>
    </row>
    <row r="55" ht="22.5" customHeight="1">
      <c r="A55" s="5" t="s">
        <v>83</v>
      </c>
      <c r="B55" s="5" t="s">
        <v>24</v>
      </c>
      <c r="C55" s="5">
        <v>154030.0</v>
      </c>
      <c r="D55" s="5">
        <v>322941.0</v>
      </c>
      <c r="E55" s="5">
        <v>339.0</v>
      </c>
      <c r="F55" s="5">
        <v>55.0</v>
      </c>
      <c r="G55" s="6">
        <f t="shared" si="1"/>
        <v>258352.8</v>
      </c>
      <c r="H55" s="6">
        <f t="shared" si="2"/>
        <v>28.91647196</v>
      </c>
      <c r="I55" s="6">
        <f t="shared" si="3"/>
        <v>860.3541474</v>
      </c>
      <c r="J55" s="6">
        <v>1005.8061011773514</v>
      </c>
      <c r="K55" s="7">
        <f t="shared" si="4"/>
        <v>1049.432647</v>
      </c>
    </row>
    <row r="56" ht="22.5" customHeight="1">
      <c r="A56" s="5" t="s">
        <v>84</v>
      </c>
      <c r="B56" s="5" t="s">
        <v>19</v>
      </c>
      <c r="C56" s="5">
        <v>153773.0</v>
      </c>
      <c r="D56" s="5">
        <v>178257.0</v>
      </c>
      <c r="E56" s="5">
        <v>353.0</v>
      </c>
      <c r="F56" s="5">
        <v>54.0</v>
      </c>
      <c r="G56" s="6">
        <f t="shared" si="1"/>
        <v>142605.6</v>
      </c>
      <c r="H56" s="6">
        <f t="shared" si="2"/>
        <v>15.90126093</v>
      </c>
      <c r="I56" s="6">
        <f t="shared" si="3"/>
        <v>567.5755019</v>
      </c>
      <c r="J56" s="6">
        <v>663.5301339281015</v>
      </c>
      <c r="K56" s="7">
        <f t="shared" si="4"/>
        <v>679.3565826</v>
      </c>
    </row>
    <row r="57" ht="22.5" customHeight="1">
      <c r="A57" s="5" t="s">
        <v>85</v>
      </c>
      <c r="B57" s="5" t="s">
        <v>40</v>
      </c>
      <c r="C57" s="5">
        <v>153516.0</v>
      </c>
      <c r="D57" s="5">
        <v>19209.0</v>
      </c>
      <c r="E57" s="5">
        <v>323.0</v>
      </c>
      <c r="F57" s="5">
        <v>41.0</v>
      </c>
      <c r="G57" s="6">
        <f t="shared" si="1"/>
        <v>15367.2</v>
      </c>
      <c r="H57" s="6">
        <f t="shared" si="2"/>
        <v>3.248491365</v>
      </c>
      <c r="I57" s="6">
        <f t="shared" si="3"/>
        <v>102.2816126</v>
      </c>
      <c r="J57" s="6">
        <v>119.57339925593112</v>
      </c>
      <c r="K57" s="7">
        <f t="shared" si="4"/>
        <v>120.156049</v>
      </c>
    </row>
    <row r="58" ht="22.5" customHeight="1">
      <c r="A58" s="5" t="s">
        <v>86</v>
      </c>
      <c r="B58" s="5" t="s">
        <v>19</v>
      </c>
      <c r="C58" s="5">
        <v>153115.0</v>
      </c>
      <c r="D58" s="5">
        <v>165966.0</v>
      </c>
      <c r="E58" s="5">
        <v>366.0</v>
      </c>
      <c r="F58" s="5">
        <v>51.0</v>
      </c>
      <c r="G58" s="6">
        <f t="shared" si="1"/>
        <v>132772.8</v>
      </c>
      <c r="H58" s="6">
        <f t="shared" si="2"/>
        <v>16.00828787</v>
      </c>
      <c r="I58" s="6">
        <f t="shared" si="3"/>
        <v>539.8889211</v>
      </c>
      <c r="J58" s="6">
        <v>631.1628442771721</v>
      </c>
      <c r="K58" s="7">
        <f t="shared" si="4"/>
        <v>646.318599</v>
      </c>
    </row>
    <row r="59" ht="22.5" customHeight="1">
      <c r="A59" s="5" t="s">
        <v>87</v>
      </c>
      <c r="B59" s="5" t="s">
        <v>22</v>
      </c>
      <c r="C59" s="5">
        <v>152727.0</v>
      </c>
      <c r="D59" s="5">
        <v>297336.0</v>
      </c>
      <c r="E59" s="5">
        <v>330.0</v>
      </c>
      <c r="F59" s="5">
        <v>60.0</v>
      </c>
      <c r="G59" s="6">
        <f t="shared" si="1"/>
        <v>237868.8</v>
      </c>
      <c r="H59" s="6">
        <f t="shared" si="2"/>
        <v>22.98149356</v>
      </c>
      <c r="I59" s="6">
        <f t="shared" si="3"/>
        <v>812.0154132</v>
      </c>
      <c r="J59" s="6">
        <v>949.2951934822269</v>
      </c>
      <c r="K59" s="7">
        <f t="shared" si="4"/>
        <v>982.0195255</v>
      </c>
    </row>
    <row r="60" ht="22.5" customHeight="1">
      <c r="A60" s="5" t="s">
        <v>88</v>
      </c>
      <c r="B60" s="5" t="s">
        <v>22</v>
      </c>
      <c r="C60" s="5">
        <v>152139.0</v>
      </c>
      <c r="D60" s="5">
        <v>284170.0</v>
      </c>
      <c r="E60" s="5">
        <v>330.0</v>
      </c>
      <c r="F60" s="5">
        <v>60.0</v>
      </c>
      <c r="G60" s="6">
        <f t="shared" si="1"/>
        <v>227336</v>
      </c>
      <c r="H60" s="6">
        <f t="shared" si="2"/>
        <v>21.96387597</v>
      </c>
      <c r="I60" s="6">
        <f t="shared" si="3"/>
        <v>786.6757913</v>
      </c>
      <c r="J60" s="6">
        <v>919.6716409766034</v>
      </c>
      <c r="K60" s="7">
        <f t="shared" si="4"/>
        <v>949.9709718</v>
      </c>
    </row>
    <row r="61" ht="22.5" customHeight="1">
      <c r="A61" s="5" t="s">
        <v>89</v>
      </c>
      <c r="B61" s="5" t="s">
        <v>24</v>
      </c>
      <c r="C61" s="5">
        <v>151915.0</v>
      </c>
      <c r="D61" s="5">
        <v>313049.0</v>
      </c>
      <c r="E61" s="5">
        <v>330.0</v>
      </c>
      <c r="F61" s="5">
        <v>57.0</v>
      </c>
      <c r="G61" s="6">
        <f t="shared" si="1"/>
        <v>250439.2</v>
      </c>
      <c r="H61" s="6">
        <f t="shared" si="2"/>
        <v>26.80994145</v>
      </c>
      <c r="I61" s="6">
        <f t="shared" si="3"/>
        <v>841.8207979</v>
      </c>
      <c r="J61" s="6">
        <v>984.1394931934225</v>
      </c>
      <c r="K61" s="7">
        <f t="shared" si="4"/>
        <v>1023.716576</v>
      </c>
    </row>
    <row r="62" ht="22.5" customHeight="1">
      <c r="A62" s="5" t="s">
        <v>90</v>
      </c>
      <c r="B62" s="5" t="s">
        <v>24</v>
      </c>
      <c r="C62" s="5">
        <v>151448.0</v>
      </c>
      <c r="D62" s="5">
        <v>297088.0</v>
      </c>
      <c r="E62" s="5">
        <v>327.0</v>
      </c>
      <c r="F62" s="5">
        <v>55.0</v>
      </c>
      <c r="G62" s="6">
        <f t="shared" si="1"/>
        <v>237670.4</v>
      </c>
      <c r="H62" s="6">
        <f t="shared" si="2"/>
        <v>27.57777185</v>
      </c>
      <c r="I62" s="6">
        <f t="shared" si="3"/>
        <v>811.5412576</v>
      </c>
      <c r="J62" s="6">
        <v>948.740876914304</v>
      </c>
      <c r="K62" s="7">
        <f t="shared" si="4"/>
        <v>987.9871161</v>
      </c>
    </row>
    <row r="63" ht="22.5" customHeight="1">
      <c r="A63" s="5" t="s">
        <v>91</v>
      </c>
      <c r="B63" s="5" t="s">
        <v>19</v>
      </c>
      <c r="C63" s="5">
        <v>150844.0</v>
      </c>
      <c r="D63" s="5">
        <v>159614.0</v>
      </c>
      <c r="E63" s="5">
        <v>366.0</v>
      </c>
      <c r="F63" s="5">
        <v>51.0</v>
      </c>
      <c r="G63" s="6">
        <f t="shared" si="1"/>
        <v>127691.2</v>
      </c>
      <c r="H63" s="6">
        <f t="shared" si="2"/>
        <v>15.39560428</v>
      </c>
      <c r="I63" s="6">
        <f t="shared" si="3"/>
        <v>525.3402949</v>
      </c>
      <c r="J63" s="6">
        <v>614.1546191969574</v>
      </c>
      <c r="K63" s="7">
        <f t="shared" si="4"/>
        <v>628.3375414</v>
      </c>
    </row>
    <row r="64" ht="22.5" customHeight="1">
      <c r="A64" s="5" t="s">
        <v>92</v>
      </c>
      <c r="B64" s="5" t="s">
        <v>40</v>
      </c>
      <c r="C64" s="5">
        <v>150695.0</v>
      </c>
      <c r="D64" s="5">
        <v>15370.0</v>
      </c>
      <c r="E64" s="5">
        <v>335.0</v>
      </c>
      <c r="F64" s="5">
        <v>44.0</v>
      </c>
      <c r="G64" s="6">
        <f t="shared" si="1"/>
        <v>12296</v>
      </c>
      <c r="H64" s="6">
        <f t="shared" si="2"/>
        <v>2.176060188</v>
      </c>
      <c r="I64" s="6">
        <f t="shared" si="3"/>
        <v>87.5015899</v>
      </c>
      <c r="J64" s="6">
        <v>102.29465766677168</v>
      </c>
      <c r="K64" s="7">
        <f t="shared" si="4"/>
        <v>102.6285567</v>
      </c>
    </row>
    <row r="65" ht="22.5" customHeight="1">
      <c r="A65" s="5" t="s">
        <v>93</v>
      </c>
      <c r="B65" s="5" t="s">
        <v>19</v>
      </c>
      <c r="C65" s="5">
        <v>149525.0</v>
      </c>
      <c r="D65" s="5">
        <v>158097.0</v>
      </c>
      <c r="E65" s="5">
        <v>366.0</v>
      </c>
      <c r="F65" s="5">
        <v>48.0</v>
      </c>
      <c r="G65" s="6">
        <f t="shared" si="1"/>
        <v>126477.6</v>
      </c>
      <c r="H65" s="6">
        <f t="shared" si="2"/>
        <v>17.21500942</v>
      </c>
      <c r="I65" s="6">
        <f t="shared" si="3"/>
        <v>521.8402419</v>
      </c>
      <c r="J65" s="6">
        <v>610.0628453392787</v>
      </c>
      <c r="K65" s="7">
        <f t="shared" si="4"/>
        <v>625.8162018</v>
      </c>
    </row>
    <row r="66" ht="22.5" customHeight="1">
      <c r="A66" s="5" t="s">
        <v>94</v>
      </c>
      <c r="B66" s="5" t="s">
        <v>19</v>
      </c>
      <c r="C66" s="5">
        <v>149210.0</v>
      </c>
      <c r="D66" s="5">
        <v>153594.0</v>
      </c>
      <c r="E66" s="5">
        <v>369.0</v>
      </c>
      <c r="F66" s="5">
        <v>51.0</v>
      </c>
      <c r="G66" s="6">
        <f t="shared" si="1"/>
        <v>122875.2</v>
      </c>
      <c r="H66" s="6">
        <f t="shared" si="2"/>
        <v>14.69449713</v>
      </c>
      <c r="I66" s="6">
        <f t="shared" si="3"/>
        <v>511.3909076</v>
      </c>
      <c r="J66" s="6">
        <v>597.8469406685855</v>
      </c>
      <c r="K66" s="7">
        <f t="shared" si="4"/>
        <v>611.0245309</v>
      </c>
    </row>
    <row r="67" ht="22.5" customHeight="1">
      <c r="A67" s="5" t="s">
        <v>95</v>
      </c>
      <c r="B67" s="5" t="s">
        <v>24</v>
      </c>
      <c r="C67" s="5">
        <v>148169.0</v>
      </c>
      <c r="D67" s="5">
        <v>265278.0</v>
      </c>
      <c r="E67" s="5">
        <v>324.0</v>
      </c>
      <c r="F67" s="5">
        <v>56.0</v>
      </c>
      <c r="G67" s="6">
        <f t="shared" si="1"/>
        <v>212222.4</v>
      </c>
      <c r="H67" s="6">
        <f t="shared" si="2"/>
        <v>23.97327495</v>
      </c>
      <c r="I67" s="6">
        <f t="shared" si="3"/>
        <v>749.6902985</v>
      </c>
      <c r="J67" s="6">
        <v>876.4333600065418</v>
      </c>
      <c r="K67" s="7">
        <f t="shared" si="4"/>
        <v>907.9498269</v>
      </c>
    </row>
    <row r="68" ht="22.5" customHeight="1">
      <c r="A68" s="5" t="s">
        <v>96</v>
      </c>
      <c r="B68" s="5" t="s">
        <v>19</v>
      </c>
      <c r="C68" s="5">
        <v>145324.0</v>
      </c>
      <c r="D68" s="5">
        <v>145502.0</v>
      </c>
      <c r="E68" s="5">
        <v>368.0</v>
      </c>
      <c r="F68" s="5">
        <v>51.0</v>
      </c>
      <c r="G68" s="6">
        <f t="shared" si="1"/>
        <v>116401.6</v>
      </c>
      <c r="H68" s="6">
        <f t="shared" si="2"/>
        <v>13.95815408</v>
      </c>
      <c r="I68" s="6">
        <f t="shared" si="3"/>
        <v>492.3787491</v>
      </c>
      <c r="J68" s="6">
        <v>575.6205760281366</v>
      </c>
      <c r="K68" s="7">
        <f t="shared" si="4"/>
        <v>587.6724771</v>
      </c>
    </row>
    <row r="69" ht="22.5" customHeight="1">
      <c r="A69" s="5" t="s">
        <v>97</v>
      </c>
      <c r="B69" s="5" t="s">
        <v>45</v>
      </c>
      <c r="C69" s="5">
        <v>144828.0</v>
      </c>
      <c r="D69" s="5">
        <v>94145.0</v>
      </c>
      <c r="E69" s="5">
        <v>294.0</v>
      </c>
      <c r="F69" s="5">
        <v>49.0</v>
      </c>
      <c r="G69" s="6">
        <f t="shared" si="1"/>
        <v>75316</v>
      </c>
      <c r="H69" s="6">
        <f t="shared" si="2"/>
        <v>12.246302</v>
      </c>
      <c r="I69" s="6">
        <f t="shared" si="3"/>
        <v>363.035511</v>
      </c>
      <c r="J69" s="6">
        <v>424.4104976802578</v>
      </c>
      <c r="K69" s="7">
        <f t="shared" si="4"/>
        <v>432.2066864</v>
      </c>
    </row>
    <row r="70" ht="22.5" customHeight="1">
      <c r="A70" s="5" t="s">
        <v>98</v>
      </c>
      <c r="B70" s="5" t="s">
        <v>19</v>
      </c>
      <c r="C70" s="5">
        <v>143262.0</v>
      </c>
      <c r="D70" s="5">
        <v>142023.0</v>
      </c>
      <c r="E70" s="5">
        <v>367.0</v>
      </c>
      <c r="F70" s="5">
        <v>48.0</v>
      </c>
      <c r="G70" s="6">
        <f t="shared" si="1"/>
        <v>113618.4</v>
      </c>
      <c r="H70" s="6">
        <f t="shared" si="2"/>
        <v>15.42259091</v>
      </c>
      <c r="I70" s="6">
        <f t="shared" si="3"/>
        <v>484.1078267</v>
      </c>
      <c r="J70" s="6">
        <v>565.9513669166848</v>
      </c>
      <c r="K70" s="7">
        <f t="shared" si="4"/>
        <v>579.0440215</v>
      </c>
    </row>
    <row r="71" ht="22.5" customHeight="1">
      <c r="A71" s="5" t="s">
        <v>99</v>
      </c>
      <c r="B71" s="5" t="s">
        <v>19</v>
      </c>
      <c r="C71" s="5">
        <v>142620.0</v>
      </c>
      <c r="D71" s="5">
        <v>145683.0</v>
      </c>
      <c r="E71" s="5">
        <v>366.0</v>
      </c>
      <c r="F71" s="5">
        <v>48.0</v>
      </c>
      <c r="G71" s="6">
        <f t="shared" si="1"/>
        <v>116546.4</v>
      </c>
      <c r="H71" s="6">
        <f t="shared" si="2"/>
        <v>15.86326254</v>
      </c>
      <c r="I71" s="6">
        <f t="shared" si="3"/>
        <v>492.8074219</v>
      </c>
      <c r="J71" s="6">
        <v>576.1217205189507</v>
      </c>
      <c r="K71" s="7">
        <f t="shared" si="4"/>
        <v>589.8304757</v>
      </c>
    </row>
    <row r="72" ht="22.5" customHeight="1">
      <c r="A72" s="5" t="s">
        <v>100</v>
      </c>
      <c r="B72" s="5" t="s">
        <v>19</v>
      </c>
      <c r="C72" s="5">
        <v>141823.0</v>
      </c>
      <c r="D72" s="5">
        <v>140637.0</v>
      </c>
      <c r="E72" s="5">
        <v>366.0</v>
      </c>
      <c r="F72" s="5">
        <v>48.0</v>
      </c>
      <c r="G72" s="6">
        <f t="shared" si="1"/>
        <v>112509.6</v>
      </c>
      <c r="H72" s="6">
        <f t="shared" si="2"/>
        <v>15.31380912</v>
      </c>
      <c r="I72" s="6">
        <f t="shared" si="3"/>
        <v>480.7958852</v>
      </c>
      <c r="J72" s="6">
        <v>562.0795066362284</v>
      </c>
      <c r="K72" s="7">
        <f t="shared" si="4"/>
        <v>574.990874</v>
      </c>
    </row>
    <row r="73" ht="22.5" customHeight="1">
      <c r="A73" s="5" t="s">
        <v>101</v>
      </c>
      <c r="B73" s="5" t="s">
        <v>19</v>
      </c>
      <c r="C73" s="5">
        <v>141716.0</v>
      </c>
      <c r="D73" s="5">
        <v>148723.0</v>
      </c>
      <c r="E73" s="5">
        <v>366.0</v>
      </c>
      <c r="F73" s="5">
        <v>48.0</v>
      </c>
      <c r="G73" s="6">
        <f t="shared" si="1"/>
        <v>118978.4</v>
      </c>
      <c r="H73" s="6">
        <f t="shared" si="2"/>
        <v>16.19428481</v>
      </c>
      <c r="I73" s="6">
        <f t="shared" si="3"/>
        <v>499.9835579</v>
      </c>
      <c r="J73" s="6">
        <v>584.5110581106125</v>
      </c>
      <c r="K73" s="7">
        <f t="shared" si="4"/>
        <v>598.7096659</v>
      </c>
    </row>
    <row r="74" ht="22.5" customHeight="1">
      <c r="A74" s="5" t="s">
        <v>102</v>
      </c>
      <c r="B74" s="5" t="s">
        <v>40</v>
      </c>
      <c r="C74" s="5">
        <v>141420.0</v>
      </c>
      <c r="D74" s="5">
        <v>13991.0</v>
      </c>
      <c r="E74" s="5">
        <v>306.0</v>
      </c>
      <c r="F74" s="5">
        <v>39.0</v>
      </c>
      <c r="G74" s="6">
        <f t="shared" si="1"/>
        <v>11192.8</v>
      </c>
      <c r="H74" s="6">
        <f t="shared" si="2"/>
        <v>2.760230255</v>
      </c>
      <c r="I74" s="6">
        <f t="shared" si="3"/>
        <v>81.92913442</v>
      </c>
      <c r="J74" s="6">
        <v>95.78011974411068</v>
      </c>
      <c r="K74" s="7">
        <f t="shared" si="4"/>
        <v>96.17668252</v>
      </c>
    </row>
    <row r="75" ht="22.5" customHeight="1">
      <c r="A75" s="5" t="s">
        <v>103</v>
      </c>
      <c r="B75" s="5" t="s">
        <v>19</v>
      </c>
      <c r="C75" s="5">
        <v>141003.0</v>
      </c>
      <c r="D75" s="5">
        <v>144342.0</v>
      </c>
      <c r="E75" s="5">
        <v>366.0</v>
      </c>
      <c r="F75" s="5">
        <v>48.0</v>
      </c>
      <c r="G75" s="6">
        <f t="shared" si="1"/>
        <v>115473.6</v>
      </c>
      <c r="H75" s="6">
        <f t="shared" si="2"/>
        <v>15.71724251</v>
      </c>
      <c r="I75" s="6">
        <f t="shared" si="3"/>
        <v>489.6276438</v>
      </c>
      <c r="J75" s="6">
        <v>572.4043673354207</v>
      </c>
      <c r="K75" s="7">
        <f t="shared" si="4"/>
        <v>585.8992947</v>
      </c>
    </row>
    <row r="76" ht="22.5" customHeight="1">
      <c r="A76" s="5" t="s">
        <v>104</v>
      </c>
      <c r="B76" s="5" t="s">
        <v>40</v>
      </c>
      <c r="C76" s="5">
        <v>139863.0</v>
      </c>
      <c r="D76" s="5">
        <v>9616.0</v>
      </c>
      <c r="E76" s="5">
        <v>311.0</v>
      </c>
      <c r="F76" s="5">
        <v>39.0</v>
      </c>
      <c r="G76" s="6">
        <f t="shared" si="1"/>
        <v>7692.8</v>
      </c>
      <c r="H76" s="6">
        <f t="shared" si="2"/>
        <v>1.866603378</v>
      </c>
      <c r="I76" s="6">
        <f t="shared" si="3"/>
        <v>63.01447977</v>
      </c>
      <c r="J76" s="6">
        <v>73.66774299556273</v>
      </c>
      <c r="K76" s="7">
        <f t="shared" si="4"/>
        <v>73.87400568</v>
      </c>
    </row>
    <row r="77" ht="22.5" customHeight="1">
      <c r="A77" s="5" t="s">
        <v>105</v>
      </c>
      <c r="B77" s="5" t="s">
        <v>45</v>
      </c>
      <c r="C77" s="5">
        <v>136980.0</v>
      </c>
      <c r="D77" s="5">
        <v>121939.0</v>
      </c>
      <c r="E77" s="5">
        <v>315.0</v>
      </c>
      <c r="F77" s="5">
        <v>50.0</v>
      </c>
      <c r="G77" s="6">
        <f t="shared" si="1"/>
        <v>97551.2</v>
      </c>
      <c r="H77" s="6">
        <f t="shared" si="2"/>
        <v>14.21802464</v>
      </c>
      <c r="I77" s="6">
        <f t="shared" si="3"/>
        <v>435.101787</v>
      </c>
      <c r="J77" s="6">
        <v>508.66033864979266</v>
      </c>
      <c r="K77" s="7">
        <f t="shared" si="4"/>
        <v>519.5085565</v>
      </c>
    </row>
    <row r="78" ht="22.5" customHeight="1">
      <c r="A78" s="5" t="s">
        <v>106</v>
      </c>
      <c r="B78" s="5" t="s">
        <v>45</v>
      </c>
      <c r="C78" s="5">
        <v>136410.0</v>
      </c>
      <c r="D78" s="5">
        <v>106898.0</v>
      </c>
      <c r="E78" s="5">
        <v>315.0</v>
      </c>
      <c r="F78" s="5">
        <v>50.0</v>
      </c>
      <c r="G78" s="6">
        <f t="shared" si="1"/>
        <v>85518.4</v>
      </c>
      <c r="H78" s="6">
        <f t="shared" si="2"/>
        <v>12.46425178</v>
      </c>
      <c r="I78" s="6">
        <f t="shared" si="3"/>
        <v>396.7982357</v>
      </c>
      <c r="J78" s="6">
        <v>463.88116757519106</v>
      </c>
      <c r="K78" s="7">
        <f t="shared" si="4"/>
        <v>472.5540651</v>
      </c>
    </row>
    <row r="79" ht="22.5" customHeight="1">
      <c r="A79" s="5" t="s">
        <v>107</v>
      </c>
      <c r="B79" s="5" t="s">
        <v>24</v>
      </c>
      <c r="C79" s="5">
        <v>135472.0</v>
      </c>
      <c r="D79" s="5">
        <v>250379.0</v>
      </c>
      <c r="E79" s="5">
        <v>325.0</v>
      </c>
      <c r="F79" s="5">
        <v>57.0</v>
      </c>
      <c r="G79" s="6">
        <f t="shared" si="1"/>
        <v>200303.2</v>
      </c>
      <c r="H79" s="6">
        <f t="shared" si="2"/>
        <v>21.77268674</v>
      </c>
      <c r="I79" s="6">
        <f t="shared" si="3"/>
        <v>719.9619705</v>
      </c>
      <c r="J79" s="6">
        <v>841.6791442985927</v>
      </c>
      <c r="K79" s="7">
        <f t="shared" si="4"/>
        <v>869.1675688</v>
      </c>
    </row>
    <row r="80" ht="22.5" customHeight="1">
      <c r="A80" s="5" t="s">
        <v>108</v>
      </c>
      <c r="B80" s="5" t="s">
        <v>45</v>
      </c>
      <c r="C80" s="5">
        <v>133948.0</v>
      </c>
      <c r="D80" s="5">
        <v>84333.0</v>
      </c>
      <c r="E80" s="5">
        <v>290.0</v>
      </c>
      <c r="F80" s="5">
        <v>46.0</v>
      </c>
      <c r="G80" s="6">
        <f t="shared" si="1"/>
        <v>67466.4</v>
      </c>
      <c r="H80" s="6">
        <f t="shared" si="2"/>
        <v>12.61917853</v>
      </c>
      <c r="I80" s="6">
        <f t="shared" si="3"/>
        <v>336.1160967</v>
      </c>
      <c r="J80" s="6">
        <v>392.94007218086296</v>
      </c>
      <c r="K80" s="7">
        <f t="shared" si="4"/>
        <v>400.3779436</v>
      </c>
    </row>
    <row r="81" ht="22.5" customHeight="1">
      <c r="A81" s="5" t="s">
        <v>109</v>
      </c>
      <c r="B81" s="5" t="s">
        <v>24</v>
      </c>
      <c r="C81" s="5">
        <v>132508.0</v>
      </c>
      <c r="D81" s="5">
        <v>251019.0</v>
      </c>
      <c r="E81" s="5">
        <v>330.0</v>
      </c>
      <c r="F81" s="5">
        <v>57.0</v>
      </c>
      <c r="G81" s="6">
        <f t="shared" si="1"/>
        <v>200815.2</v>
      </c>
      <c r="H81" s="6">
        <f t="shared" si="2"/>
        <v>21.49760802</v>
      </c>
      <c r="I81" s="6">
        <f t="shared" si="3"/>
        <v>721.2496961</v>
      </c>
      <c r="J81" s="6">
        <v>843.1845734279652</v>
      </c>
      <c r="K81" s="7">
        <f t="shared" si="4"/>
        <v>870.3742506</v>
      </c>
    </row>
    <row r="82" ht="22.5" customHeight="1">
      <c r="A82" s="5" t="s">
        <v>110</v>
      </c>
      <c r="B82" s="5" t="s">
        <v>18</v>
      </c>
      <c r="C82" s="5">
        <v>131242.0</v>
      </c>
      <c r="D82" s="5">
        <v>260349.0</v>
      </c>
      <c r="E82" s="5">
        <v>344.0</v>
      </c>
      <c r="F82" s="5">
        <v>52.0</v>
      </c>
      <c r="G82" s="6">
        <f t="shared" si="1"/>
        <v>208279.2</v>
      </c>
      <c r="H82" s="6">
        <f t="shared" si="2"/>
        <v>25.7002874</v>
      </c>
      <c r="I82" s="6">
        <f t="shared" si="3"/>
        <v>634.2104251</v>
      </c>
      <c r="J82" s="6">
        <v>741.4303946152002</v>
      </c>
      <c r="K82" s="7">
        <f t="shared" si="4"/>
        <v>770.012856</v>
      </c>
    </row>
    <row r="83" ht="22.5" customHeight="1">
      <c r="A83" s="5" t="s">
        <v>111</v>
      </c>
      <c r="B83" s="5" t="s">
        <v>45</v>
      </c>
      <c r="C83" s="5">
        <v>128917.0</v>
      </c>
      <c r="D83" s="5">
        <v>83571.0</v>
      </c>
      <c r="E83" s="5">
        <v>300.0</v>
      </c>
      <c r="F83" s="5">
        <v>49.0</v>
      </c>
      <c r="G83" s="6">
        <f t="shared" si="1"/>
        <v>66856.8</v>
      </c>
      <c r="H83" s="6">
        <f t="shared" si="2"/>
        <v>10.65342812</v>
      </c>
      <c r="I83" s="6">
        <f t="shared" si="3"/>
        <v>333.9872945</v>
      </c>
      <c r="J83" s="6">
        <v>390.45137351835365</v>
      </c>
      <c r="K83" s="7">
        <f t="shared" si="4"/>
        <v>396.690842</v>
      </c>
    </row>
    <row r="84" ht="22.5" customHeight="1">
      <c r="A84" s="5" t="s">
        <v>112</v>
      </c>
      <c r="B84" s="5" t="s">
        <v>45</v>
      </c>
      <c r="C84" s="5">
        <v>127088.0</v>
      </c>
      <c r="D84" s="5">
        <v>83708.0</v>
      </c>
      <c r="E84" s="5">
        <v>293.0</v>
      </c>
      <c r="F84" s="5">
        <v>49.0</v>
      </c>
      <c r="G84" s="6">
        <f t="shared" si="1"/>
        <v>66966.4</v>
      </c>
      <c r="H84" s="6">
        <f t="shared" si="2"/>
        <v>10.92582855</v>
      </c>
      <c r="I84" s="6">
        <f t="shared" si="3"/>
        <v>334.3704599</v>
      </c>
      <c r="J84" s="6">
        <v>390.89931701255273</v>
      </c>
      <c r="K84" s="7">
        <f t="shared" si="4"/>
        <v>397.3056654</v>
      </c>
    </row>
    <row r="85" ht="22.5" customHeight="1">
      <c r="A85" s="5" t="s">
        <v>113</v>
      </c>
      <c r="B85" s="5" t="s">
        <v>45</v>
      </c>
      <c r="C85" s="5">
        <v>122361.0</v>
      </c>
      <c r="D85" s="5">
        <v>80229.0</v>
      </c>
      <c r="E85" s="5">
        <v>288.0</v>
      </c>
      <c r="F85" s="5">
        <v>49.0</v>
      </c>
      <c r="G85" s="6">
        <f t="shared" si="1"/>
        <v>64183.2</v>
      </c>
      <c r="H85" s="6">
        <f t="shared" si="2"/>
        <v>10.65353966</v>
      </c>
      <c r="I85" s="6">
        <f t="shared" si="3"/>
        <v>324.5809237</v>
      </c>
      <c r="J85" s="6">
        <v>379.45475640914873</v>
      </c>
      <c r="K85" s="7">
        <f t="shared" si="4"/>
        <v>385.5185609</v>
      </c>
    </row>
    <row r="86" ht="22.5" customHeight="1">
      <c r="A86" s="5" t="s">
        <v>114</v>
      </c>
      <c r="B86" s="5" t="s">
        <v>45</v>
      </c>
      <c r="C86" s="5">
        <v>121675.0</v>
      </c>
      <c r="D86" s="5">
        <v>81950.0</v>
      </c>
      <c r="E86" s="5">
        <v>290.0</v>
      </c>
      <c r="F86" s="5">
        <v>49.0</v>
      </c>
      <c r="G86" s="6">
        <f t="shared" si="1"/>
        <v>65560</v>
      </c>
      <c r="H86" s="6">
        <f t="shared" si="2"/>
        <v>10.80702101</v>
      </c>
      <c r="I86" s="6">
        <f t="shared" si="3"/>
        <v>329.439217</v>
      </c>
      <c r="J86" s="6">
        <v>385.1343954818841</v>
      </c>
      <c r="K86" s="7">
        <f t="shared" si="4"/>
        <v>391.3776287</v>
      </c>
    </row>
    <row r="87" ht="22.5" customHeight="1">
      <c r="A87" s="5" t="s">
        <v>115</v>
      </c>
      <c r="B87" s="5" t="s">
        <v>45</v>
      </c>
      <c r="C87" s="5">
        <v>119393.0</v>
      </c>
      <c r="D87" s="5">
        <v>73795.0</v>
      </c>
      <c r="E87" s="5">
        <v>290.0</v>
      </c>
      <c r="F87" s="5">
        <v>49.0</v>
      </c>
      <c r="G87" s="6">
        <f t="shared" si="1"/>
        <v>59036</v>
      </c>
      <c r="H87" s="6">
        <f t="shared" si="2"/>
        <v>9.731593844</v>
      </c>
      <c r="I87" s="6">
        <f t="shared" si="3"/>
        <v>306.1328133</v>
      </c>
      <c r="J87" s="6">
        <v>357.8877980320838</v>
      </c>
      <c r="K87" s="7">
        <f t="shared" si="4"/>
        <v>363.1120261</v>
      </c>
    </row>
    <row r="88" ht="22.5" customHeight="1">
      <c r="A88" s="5" t="s">
        <v>116</v>
      </c>
      <c r="B88" s="5" t="s">
        <v>45</v>
      </c>
      <c r="C88" s="5">
        <v>118753.0</v>
      </c>
      <c r="D88" s="5">
        <v>95131.0</v>
      </c>
      <c r="E88" s="5">
        <v>297.0</v>
      </c>
      <c r="F88" s="5">
        <v>47.0</v>
      </c>
      <c r="G88" s="6">
        <f t="shared" si="1"/>
        <v>76104.8</v>
      </c>
      <c r="H88" s="6">
        <f t="shared" si="2"/>
        <v>13.31426181</v>
      </c>
      <c r="I88" s="6">
        <f t="shared" si="3"/>
        <v>365.6928507</v>
      </c>
      <c r="J88" s="6">
        <v>427.51708875789797</v>
      </c>
      <c r="K88" s="7">
        <f t="shared" si="4"/>
        <v>436.0552004</v>
      </c>
    </row>
    <row r="89" ht="22.5" customHeight="1">
      <c r="A89" s="5" t="s">
        <v>117</v>
      </c>
      <c r="B89" s="5" t="s">
        <v>19</v>
      </c>
      <c r="C89" s="5">
        <v>118523.0</v>
      </c>
      <c r="D89" s="5">
        <v>136899.0</v>
      </c>
      <c r="E89" s="5">
        <v>333.0</v>
      </c>
      <c r="F89" s="5">
        <v>48.0</v>
      </c>
      <c r="G89" s="6">
        <f t="shared" si="1"/>
        <v>109519.2</v>
      </c>
      <c r="H89" s="6">
        <f t="shared" si="2"/>
        <v>16.38403109</v>
      </c>
      <c r="I89" s="6">
        <f t="shared" si="3"/>
        <v>471.8144304</v>
      </c>
      <c r="J89" s="6">
        <v>551.579642122338</v>
      </c>
      <c r="K89" s="7">
        <f t="shared" si="4"/>
        <v>565.1352891</v>
      </c>
    </row>
    <row r="90" ht="22.5" customHeight="1">
      <c r="A90" s="5" t="s">
        <v>118</v>
      </c>
      <c r="B90" s="5" t="s">
        <v>19</v>
      </c>
      <c r="C90" s="5">
        <v>117340.0</v>
      </c>
      <c r="D90" s="5">
        <v>127076.0</v>
      </c>
      <c r="E90" s="5">
        <v>334.0</v>
      </c>
      <c r="F90" s="5">
        <v>48.0</v>
      </c>
      <c r="G90" s="6">
        <f t="shared" si="1"/>
        <v>101660.8</v>
      </c>
      <c r="H90" s="6">
        <f t="shared" si="2"/>
        <v>15.16288322</v>
      </c>
      <c r="I90" s="6">
        <f t="shared" si="3"/>
        <v>447.8530145</v>
      </c>
      <c r="J90" s="6">
        <v>523.5672957863881</v>
      </c>
      <c r="K90" s="7">
        <f t="shared" si="4"/>
        <v>535.4754804</v>
      </c>
    </row>
    <row r="91" ht="22.5" customHeight="1">
      <c r="A91" s="5" t="s">
        <v>119</v>
      </c>
      <c r="B91" s="5" t="s">
        <v>45</v>
      </c>
      <c r="C91" s="5">
        <v>116703.0</v>
      </c>
      <c r="D91" s="5">
        <v>73100.0</v>
      </c>
      <c r="E91" s="5">
        <v>290.0</v>
      </c>
      <c r="F91" s="5">
        <v>48.0</v>
      </c>
      <c r="G91" s="6">
        <f t="shared" si="1"/>
        <v>58480</v>
      </c>
      <c r="H91" s="6">
        <f t="shared" si="2"/>
        <v>10.04579011</v>
      </c>
      <c r="I91" s="6">
        <f t="shared" si="3"/>
        <v>304.1117431</v>
      </c>
      <c r="J91" s="6">
        <v>355.525044577475</v>
      </c>
      <c r="K91" s="7">
        <f t="shared" si="4"/>
        <v>360.8823395</v>
      </c>
    </row>
    <row r="92" ht="22.5" customHeight="1">
      <c r="A92" s="5" t="s">
        <v>120</v>
      </c>
      <c r="B92" s="5" t="s">
        <v>19</v>
      </c>
      <c r="C92" s="5">
        <v>116568.0</v>
      </c>
      <c r="D92" s="5">
        <v>121185.0</v>
      </c>
      <c r="E92" s="5">
        <v>335.0</v>
      </c>
      <c r="F92" s="5">
        <v>49.0</v>
      </c>
      <c r="G92" s="6">
        <f t="shared" si="1"/>
        <v>96948</v>
      </c>
      <c r="H92" s="6">
        <f t="shared" si="2"/>
        <v>13.83436074</v>
      </c>
      <c r="I92" s="6">
        <f t="shared" si="3"/>
        <v>433.2167437</v>
      </c>
      <c r="J92" s="6">
        <v>506.4566088619683</v>
      </c>
      <c r="K92" s="7">
        <f t="shared" si="4"/>
        <v>516.966364</v>
      </c>
    </row>
    <row r="93" ht="22.5" customHeight="1">
      <c r="A93" s="5" t="s">
        <v>121</v>
      </c>
      <c r="B93" s="5" t="s">
        <v>45</v>
      </c>
      <c r="C93" s="5">
        <v>116354.0</v>
      </c>
      <c r="D93" s="5">
        <v>93423.0</v>
      </c>
      <c r="E93" s="5">
        <v>299.0</v>
      </c>
      <c r="F93" s="5">
        <v>46.0</v>
      </c>
      <c r="G93" s="6">
        <f t="shared" si="1"/>
        <v>74738.4</v>
      </c>
      <c r="H93" s="6">
        <f t="shared" si="2"/>
        <v>13.5585783</v>
      </c>
      <c r="I93" s="6">
        <f t="shared" si="3"/>
        <v>361.0843727</v>
      </c>
      <c r="J93" s="6">
        <v>422.129498832263</v>
      </c>
      <c r="K93" s="7">
        <f t="shared" si="4"/>
        <v>430.7147126</v>
      </c>
    </row>
    <row r="94" ht="22.5" customHeight="1">
      <c r="A94" s="5" t="s">
        <v>122</v>
      </c>
      <c r="B94" s="5" t="s">
        <v>40</v>
      </c>
      <c r="C94" s="5">
        <v>116017.0</v>
      </c>
      <c r="D94" s="5">
        <v>8044.0</v>
      </c>
      <c r="E94" s="5">
        <v>289.0</v>
      </c>
      <c r="F94" s="5">
        <v>36.0</v>
      </c>
      <c r="G94" s="6">
        <f t="shared" si="1"/>
        <v>6435.2</v>
      </c>
      <c r="H94" s="6">
        <f t="shared" si="2"/>
        <v>1.97204315</v>
      </c>
      <c r="I94" s="6">
        <f t="shared" si="3"/>
        <v>55.6127896</v>
      </c>
      <c r="J94" s="6">
        <v>65.0147189356527</v>
      </c>
      <c r="K94" s="7">
        <f t="shared" si="4"/>
        <v>65.20703668</v>
      </c>
    </row>
    <row r="95" ht="22.5" customHeight="1">
      <c r="A95" s="5" t="s">
        <v>123</v>
      </c>
      <c r="B95" s="5" t="s">
        <v>45</v>
      </c>
      <c r="C95" s="5">
        <v>115636.0</v>
      </c>
      <c r="D95" s="5">
        <v>88184.0</v>
      </c>
      <c r="E95" s="5">
        <v>293.0</v>
      </c>
      <c r="F95" s="5">
        <v>46.0</v>
      </c>
      <c r="G95" s="6">
        <f t="shared" si="1"/>
        <v>70547.2</v>
      </c>
      <c r="H95" s="6">
        <f t="shared" si="2"/>
        <v>13.06031665</v>
      </c>
      <c r="I95" s="6">
        <f t="shared" si="3"/>
        <v>346.7878575</v>
      </c>
      <c r="J95" s="6">
        <v>405.4160068699308</v>
      </c>
      <c r="K95" s="7">
        <f t="shared" si="4"/>
        <v>413.358299</v>
      </c>
    </row>
    <row r="96" ht="22.5" customHeight="1">
      <c r="A96" s="5" t="s">
        <v>124</v>
      </c>
      <c r="B96" s="5" t="s">
        <v>45</v>
      </c>
      <c r="C96" s="5">
        <v>115373.0</v>
      </c>
      <c r="D96" s="5">
        <v>93980.0</v>
      </c>
      <c r="E96" s="5">
        <v>295.0</v>
      </c>
      <c r="F96" s="5">
        <v>46.0</v>
      </c>
      <c r="G96" s="6">
        <f t="shared" si="1"/>
        <v>75184</v>
      </c>
      <c r="H96" s="6">
        <f t="shared" si="2"/>
        <v>13.82435753</v>
      </c>
      <c r="I96" s="6">
        <f t="shared" si="3"/>
        <v>362.5900106</v>
      </c>
      <c r="J96" s="6">
        <v>423.889680758409</v>
      </c>
      <c r="K96" s="7">
        <f t="shared" si="4"/>
        <v>432.6796845</v>
      </c>
    </row>
    <row r="97" ht="22.5" customHeight="1">
      <c r="A97" s="5" t="s">
        <v>125</v>
      </c>
      <c r="B97" s="5" t="s">
        <v>45</v>
      </c>
      <c r="C97" s="5">
        <v>114996.0</v>
      </c>
      <c r="D97" s="5">
        <v>88438.0</v>
      </c>
      <c r="E97" s="5">
        <v>290.0</v>
      </c>
      <c r="F97" s="5">
        <v>47.0</v>
      </c>
      <c r="G97" s="6">
        <f t="shared" si="1"/>
        <v>70750.4</v>
      </c>
      <c r="H97" s="6">
        <f t="shared" si="2"/>
        <v>12.67629667</v>
      </c>
      <c r="I97" s="6">
        <f t="shared" si="3"/>
        <v>347.486763</v>
      </c>
      <c r="J97" s="6">
        <v>406.2330696171349</v>
      </c>
      <c r="K97" s="7">
        <f t="shared" si="4"/>
        <v>413.957366</v>
      </c>
    </row>
    <row r="98" ht="22.5" customHeight="1">
      <c r="A98" s="5" t="s">
        <v>126</v>
      </c>
      <c r="B98" s="5" t="s">
        <v>45</v>
      </c>
      <c r="C98" s="5">
        <v>114622.0</v>
      </c>
      <c r="D98" s="5">
        <v>95788.0</v>
      </c>
      <c r="E98" s="5">
        <v>295.0</v>
      </c>
      <c r="F98" s="5">
        <v>46.0</v>
      </c>
      <c r="G98" s="6">
        <f t="shared" si="1"/>
        <v>76630.4</v>
      </c>
      <c r="H98" s="6">
        <f t="shared" si="2"/>
        <v>14.0903124</v>
      </c>
      <c r="I98" s="6">
        <f t="shared" si="3"/>
        <v>367.4589252</v>
      </c>
      <c r="J98" s="6">
        <v>429.58173682037335</v>
      </c>
      <c r="K98" s="7">
        <f t="shared" si="4"/>
        <v>438.6611481</v>
      </c>
    </row>
    <row r="99" ht="22.5" customHeight="1">
      <c r="A99" s="5" t="s">
        <v>127</v>
      </c>
      <c r="B99" s="5" t="s">
        <v>45</v>
      </c>
      <c r="C99" s="5">
        <v>114277.0</v>
      </c>
      <c r="D99" s="5">
        <v>87130.0</v>
      </c>
      <c r="E99" s="5">
        <v>298.0</v>
      </c>
      <c r="F99" s="5">
        <v>46.0</v>
      </c>
      <c r="G99" s="6">
        <f t="shared" si="1"/>
        <v>69704</v>
      </c>
      <c r="H99" s="6">
        <f t="shared" si="2"/>
        <v>12.68770237</v>
      </c>
      <c r="I99" s="6">
        <f t="shared" si="3"/>
        <v>343.8811943</v>
      </c>
      <c r="J99" s="6">
        <v>402.01794152604236</v>
      </c>
      <c r="K99" s="7">
        <f t="shared" si="4"/>
        <v>409.6689675</v>
      </c>
    </row>
    <row r="100" ht="22.5" customHeight="1">
      <c r="A100" s="5" t="s">
        <v>128</v>
      </c>
      <c r="B100" s="5" t="s">
        <v>45</v>
      </c>
      <c r="C100" s="5">
        <v>114166.0</v>
      </c>
      <c r="D100" s="5">
        <v>96355.0</v>
      </c>
      <c r="E100" s="5">
        <v>290.0</v>
      </c>
      <c r="F100" s="5">
        <v>47.0</v>
      </c>
      <c r="G100" s="6">
        <f t="shared" si="1"/>
        <v>77084</v>
      </c>
      <c r="H100" s="6">
        <f t="shared" si="2"/>
        <v>13.81108308</v>
      </c>
      <c r="I100" s="6">
        <f t="shared" si="3"/>
        <v>368.9801521</v>
      </c>
      <c r="J100" s="6">
        <v>431.3601432053727</v>
      </c>
      <c r="K100" s="7">
        <f t="shared" si="4"/>
        <v>440.2964694</v>
      </c>
    </row>
    <row r="101" ht="22.5" customHeight="1">
      <c r="A101" s="5" t="s">
        <v>129</v>
      </c>
      <c r="B101" s="5" t="s">
        <v>19</v>
      </c>
      <c r="C101" s="5">
        <v>113973.0</v>
      </c>
      <c r="D101" s="5">
        <v>122961.0</v>
      </c>
      <c r="E101" s="5">
        <v>349.0</v>
      </c>
      <c r="F101" s="5">
        <v>46.0</v>
      </c>
      <c r="G101" s="6">
        <f t="shared" si="1"/>
        <v>98368.8</v>
      </c>
      <c r="H101" s="6">
        <f t="shared" si="2"/>
        <v>15.28880326</v>
      </c>
      <c r="I101" s="6">
        <f t="shared" si="3"/>
        <v>437.6512741</v>
      </c>
      <c r="J101" s="6">
        <v>511.64084345449345</v>
      </c>
      <c r="K101" s="7">
        <f t="shared" si="4"/>
        <v>523.3744077</v>
      </c>
    </row>
    <row r="102" ht="22.5" customHeight="1">
      <c r="A102" s="5" t="s">
        <v>130</v>
      </c>
      <c r="B102" s="5" t="s">
        <v>45</v>
      </c>
      <c r="C102" s="5">
        <v>113793.0</v>
      </c>
      <c r="D102" s="5">
        <v>94638.0</v>
      </c>
      <c r="E102" s="5">
        <v>295.0</v>
      </c>
      <c r="F102" s="5">
        <v>46.0</v>
      </c>
      <c r="G102" s="6">
        <f t="shared" si="1"/>
        <v>75710.4</v>
      </c>
      <c r="H102" s="6">
        <f t="shared" si="2"/>
        <v>13.92114863</v>
      </c>
      <c r="I102" s="6">
        <f t="shared" si="3"/>
        <v>364.3652191</v>
      </c>
      <c r="J102" s="6">
        <v>425.96500696809176</v>
      </c>
      <c r="K102" s="7">
        <f t="shared" si="4"/>
        <v>434.8598902</v>
      </c>
    </row>
    <row r="103" ht="22.5" customHeight="1">
      <c r="A103" s="5" t="s">
        <v>131</v>
      </c>
      <c r="B103" s="5" t="s">
        <v>45</v>
      </c>
      <c r="C103" s="5">
        <v>113557.0</v>
      </c>
      <c r="D103" s="5">
        <v>95253.0</v>
      </c>
      <c r="E103" s="5">
        <v>295.0</v>
      </c>
      <c r="F103" s="5">
        <v>46.0</v>
      </c>
      <c r="G103" s="6">
        <f t="shared" si="1"/>
        <v>76202.4</v>
      </c>
      <c r="H103" s="6">
        <f t="shared" si="2"/>
        <v>14.01161447</v>
      </c>
      <c r="I103" s="6">
        <f t="shared" si="3"/>
        <v>366.0210735</v>
      </c>
      <c r="J103" s="6">
        <v>427.9008011123742</v>
      </c>
      <c r="K103" s="7">
        <f t="shared" si="4"/>
        <v>436.8941727</v>
      </c>
    </row>
    <row r="104" ht="22.5" customHeight="1">
      <c r="A104" s="5" t="s">
        <v>132</v>
      </c>
      <c r="B104" s="5" t="s">
        <v>19</v>
      </c>
      <c r="C104" s="5">
        <v>113412.0</v>
      </c>
      <c r="D104" s="5">
        <v>118800.0</v>
      </c>
      <c r="E104" s="5">
        <v>350.0</v>
      </c>
      <c r="F104" s="5">
        <v>46.0</v>
      </c>
      <c r="G104" s="6">
        <f t="shared" si="1"/>
        <v>95040</v>
      </c>
      <c r="H104" s="6">
        <f t="shared" si="2"/>
        <v>14.7292261</v>
      </c>
      <c r="I104" s="6">
        <f t="shared" si="3"/>
        <v>427.230781</v>
      </c>
      <c r="J104" s="6">
        <v>499.4586559363169</v>
      </c>
      <c r="K104" s="7">
        <f t="shared" si="4"/>
        <v>510.4936151</v>
      </c>
    </row>
    <row r="105" ht="22.5" customHeight="1">
      <c r="A105" s="5" t="s">
        <v>133</v>
      </c>
      <c r="B105" s="5" t="s">
        <v>45</v>
      </c>
      <c r="C105" s="5">
        <v>113049.0</v>
      </c>
      <c r="D105" s="5">
        <v>95803.0</v>
      </c>
      <c r="E105" s="5">
        <v>295.0</v>
      </c>
      <c r="F105" s="5">
        <v>46.0</v>
      </c>
      <c r="G105" s="6">
        <f t="shared" si="1"/>
        <v>76642.4</v>
      </c>
      <c r="H105" s="6">
        <f t="shared" si="2"/>
        <v>14.09251888</v>
      </c>
      <c r="I105" s="6">
        <f t="shared" si="3"/>
        <v>367.4992041</v>
      </c>
      <c r="J105" s="6">
        <v>429.62882520610486</v>
      </c>
      <c r="K105" s="7">
        <f t="shared" si="4"/>
        <v>438.7106537</v>
      </c>
    </row>
    <row r="106" ht="22.5" customHeight="1">
      <c r="A106" s="5" t="s">
        <v>134</v>
      </c>
      <c r="B106" s="5" t="s">
        <v>19</v>
      </c>
      <c r="C106" s="5">
        <v>112967.0</v>
      </c>
      <c r="D106" s="5">
        <v>115304.0</v>
      </c>
      <c r="E106" s="5">
        <v>337.0</v>
      </c>
      <c r="F106" s="5">
        <v>48.0</v>
      </c>
      <c r="G106" s="6">
        <f t="shared" si="1"/>
        <v>92243.2</v>
      </c>
      <c r="H106" s="6">
        <f t="shared" si="2"/>
        <v>13.63575514</v>
      </c>
      <c r="I106" s="6">
        <f t="shared" si="3"/>
        <v>418.3907632</v>
      </c>
      <c r="J106" s="6">
        <v>489.1241398894341</v>
      </c>
      <c r="K106" s="7">
        <f t="shared" si="4"/>
        <v>499.1285054</v>
      </c>
    </row>
    <row r="107" ht="22.5" customHeight="1">
      <c r="A107" s="5" t="s">
        <v>135</v>
      </c>
      <c r="B107" s="5" t="s">
        <v>45</v>
      </c>
      <c r="C107" s="5">
        <v>112764.0</v>
      </c>
      <c r="D107" s="5">
        <v>87760.0</v>
      </c>
      <c r="E107" s="5">
        <v>291.0</v>
      </c>
      <c r="F107" s="5">
        <v>46.0</v>
      </c>
      <c r="G107" s="6">
        <f t="shared" si="1"/>
        <v>70208</v>
      </c>
      <c r="H107" s="6">
        <f t="shared" si="2"/>
        <v>13.08685101</v>
      </c>
      <c r="I107" s="6">
        <f t="shared" si="3"/>
        <v>345.6198336</v>
      </c>
      <c r="J107" s="6">
        <v>404.05051613868403</v>
      </c>
      <c r="K107" s="7">
        <f t="shared" si="4"/>
        <v>411.9821395</v>
      </c>
    </row>
    <row r="108" ht="22.5" customHeight="1">
      <c r="A108" s="5" t="s">
        <v>136</v>
      </c>
      <c r="B108" s="5" t="s">
        <v>19</v>
      </c>
      <c r="C108" s="5">
        <v>111249.0</v>
      </c>
      <c r="D108" s="5">
        <v>120854.0</v>
      </c>
      <c r="E108" s="5">
        <v>350.0</v>
      </c>
      <c r="F108" s="5">
        <v>43.0</v>
      </c>
      <c r="G108" s="6">
        <f t="shared" si="1"/>
        <v>96683.2</v>
      </c>
      <c r="H108" s="6">
        <f t="shared" si="2"/>
        <v>17.14759705</v>
      </c>
      <c r="I108" s="6">
        <f t="shared" si="3"/>
        <v>432.3881139</v>
      </c>
      <c r="J108" s="6">
        <v>505.48789053535506</v>
      </c>
      <c r="K108" s="7">
        <f t="shared" si="4"/>
        <v>518.4897445</v>
      </c>
    </row>
    <row r="109" ht="22.5" customHeight="1">
      <c r="A109" s="5" t="s">
        <v>137</v>
      </c>
      <c r="B109" s="5" t="s">
        <v>77</v>
      </c>
      <c r="C109" s="5">
        <v>110895.0</v>
      </c>
      <c r="D109" s="5">
        <v>71564.0</v>
      </c>
      <c r="E109" s="5">
        <v>293.0</v>
      </c>
      <c r="F109" s="5">
        <v>46.0</v>
      </c>
      <c r="G109" s="6">
        <f t="shared" si="1"/>
        <v>57251.2</v>
      </c>
      <c r="H109" s="6">
        <f t="shared" si="2"/>
        <v>10.59884447</v>
      </c>
      <c r="I109" s="6">
        <f t="shared" si="3"/>
        <v>299.6244511</v>
      </c>
      <c r="J109" s="6">
        <v>350.2791285814854</v>
      </c>
      <c r="K109" s="7">
        <f t="shared" si="4"/>
        <v>355.8479596</v>
      </c>
    </row>
    <row r="110" ht="22.5" customHeight="1">
      <c r="A110" s="5" t="s">
        <v>138</v>
      </c>
      <c r="B110" s="5" t="s">
        <v>40</v>
      </c>
      <c r="C110" s="5">
        <v>110475.0</v>
      </c>
      <c r="D110" s="5">
        <v>10000.0</v>
      </c>
      <c r="E110" s="5">
        <v>290.0</v>
      </c>
      <c r="F110" s="5">
        <v>36.0</v>
      </c>
      <c r="G110" s="6">
        <f t="shared" si="1"/>
        <v>8000</v>
      </c>
      <c r="H110" s="6">
        <f t="shared" si="2"/>
        <v>2.443116611</v>
      </c>
      <c r="I110" s="6">
        <f t="shared" si="3"/>
        <v>64.76557669</v>
      </c>
      <c r="J110" s="6">
        <v>75.71488133762315</v>
      </c>
      <c r="K110" s="7">
        <f t="shared" si="4"/>
        <v>75.99235176</v>
      </c>
    </row>
    <row r="111" ht="22.5" customHeight="1">
      <c r="A111" s="5" t="s">
        <v>139</v>
      </c>
      <c r="B111" s="5" t="s">
        <v>24</v>
      </c>
      <c r="C111" s="5">
        <v>109716.0</v>
      </c>
      <c r="D111" s="5">
        <v>210667.0</v>
      </c>
      <c r="E111" s="5">
        <v>300.0</v>
      </c>
      <c r="F111" s="5">
        <v>49.0</v>
      </c>
      <c r="G111" s="6">
        <f t="shared" si="1"/>
        <v>168533.6</v>
      </c>
      <c r="H111" s="6">
        <f t="shared" si="2"/>
        <v>26.85531754</v>
      </c>
      <c r="I111" s="6">
        <f t="shared" si="3"/>
        <v>637.9822326</v>
      </c>
      <c r="J111" s="6">
        <v>745.8398660138898</v>
      </c>
      <c r="K111" s="7">
        <f t="shared" si="4"/>
        <v>775.8845157</v>
      </c>
    </row>
    <row r="112" ht="22.5" customHeight="1">
      <c r="A112" s="5" t="s">
        <v>140</v>
      </c>
      <c r="B112" s="5" t="s">
        <v>19</v>
      </c>
      <c r="C112" s="5">
        <v>109712.0</v>
      </c>
      <c r="D112" s="5">
        <v>115036.0</v>
      </c>
      <c r="E112" s="5">
        <v>328.0</v>
      </c>
      <c r="F112" s="5">
        <v>45.0</v>
      </c>
      <c r="G112" s="6">
        <f t="shared" si="1"/>
        <v>92028.8</v>
      </c>
      <c r="H112" s="6">
        <f t="shared" si="2"/>
        <v>15.90311124</v>
      </c>
      <c r="I112" s="6">
        <f t="shared" si="3"/>
        <v>417.7098025</v>
      </c>
      <c r="J112" s="6">
        <v>488.32805551825203</v>
      </c>
      <c r="K112" s="7">
        <f t="shared" si="4"/>
        <v>499.9769586</v>
      </c>
    </row>
    <row r="113" ht="22.5" customHeight="1">
      <c r="A113" s="5" t="s">
        <v>141</v>
      </c>
      <c r="B113" s="5" t="s">
        <v>19</v>
      </c>
      <c r="C113" s="5">
        <v>109149.0</v>
      </c>
      <c r="D113" s="5">
        <v>107492.0</v>
      </c>
      <c r="E113" s="5">
        <v>351.0</v>
      </c>
      <c r="F113" s="5">
        <v>43.0</v>
      </c>
      <c r="G113" s="6">
        <f t="shared" si="1"/>
        <v>85993.6</v>
      </c>
      <c r="H113" s="6">
        <f t="shared" si="2"/>
        <v>15.2082524</v>
      </c>
      <c r="I113" s="6">
        <f t="shared" si="3"/>
        <v>398.3403742</v>
      </c>
      <c r="J113" s="6">
        <v>465.6840208320764</v>
      </c>
      <c r="K113" s="7">
        <f t="shared" si="4"/>
        <v>476.307381</v>
      </c>
    </row>
    <row r="114" ht="22.5" customHeight="1">
      <c r="A114" s="5" t="s">
        <v>142</v>
      </c>
      <c r="B114" s="5" t="s">
        <v>24</v>
      </c>
      <c r="C114" s="5">
        <v>108697.0</v>
      </c>
      <c r="D114" s="5">
        <v>211982.0</v>
      </c>
      <c r="E114" s="5">
        <v>300.0</v>
      </c>
      <c r="F114" s="5">
        <v>50.0</v>
      </c>
      <c r="G114" s="6">
        <f t="shared" si="1"/>
        <v>169585.6</v>
      </c>
      <c r="H114" s="6">
        <f t="shared" si="2"/>
        <v>25.9528417</v>
      </c>
      <c r="I114" s="6">
        <f t="shared" si="3"/>
        <v>640.7672643</v>
      </c>
      <c r="J114" s="6">
        <v>749.0957366935262</v>
      </c>
      <c r="K114" s="7">
        <f t="shared" si="4"/>
        <v>778.2574813</v>
      </c>
    </row>
    <row r="115" ht="22.5" customHeight="1">
      <c r="A115" s="5" t="s">
        <v>143</v>
      </c>
      <c r="B115" s="5" t="s">
        <v>24</v>
      </c>
      <c r="C115" s="5">
        <v>108130.0</v>
      </c>
      <c r="D115" s="5">
        <v>206392.0</v>
      </c>
      <c r="E115" s="5">
        <v>300.0</v>
      </c>
      <c r="F115" s="5">
        <v>50.0</v>
      </c>
      <c r="G115" s="6">
        <f t="shared" si="1"/>
        <v>165113.6</v>
      </c>
      <c r="H115" s="6">
        <f t="shared" si="2"/>
        <v>25.26846102</v>
      </c>
      <c r="I115" s="6">
        <f t="shared" si="3"/>
        <v>628.8919392</v>
      </c>
      <c r="J115" s="6">
        <v>735.2127625134476</v>
      </c>
      <c r="K115" s="7">
        <f t="shared" si="4"/>
        <v>763.0793051</v>
      </c>
    </row>
    <row r="116" ht="22.5" customHeight="1">
      <c r="A116" s="5" t="s">
        <v>144</v>
      </c>
      <c r="B116" s="5" t="s">
        <v>24</v>
      </c>
      <c r="C116" s="5">
        <v>107916.0</v>
      </c>
      <c r="D116" s="5">
        <v>208572.0</v>
      </c>
      <c r="E116" s="5">
        <v>300.0</v>
      </c>
      <c r="F116" s="5">
        <v>50.0</v>
      </c>
      <c r="G116" s="6">
        <f t="shared" si="1"/>
        <v>166857.6</v>
      </c>
      <c r="H116" s="6">
        <f t="shared" si="2"/>
        <v>25.53535725</v>
      </c>
      <c r="I116" s="6">
        <f t="shared" si="3"/>
        <v>633.5344424</v>
      </c>
      <c r="J116" s="6">
        <v>740.6401299010406</v>
      </c>
      <c r="K116" s="7">
        <f t="shared" si="4"/>
        <v>769.0088954</v>
      </c>
    </row>
    <row r="117" ht="22.5" customHeight="1">
      <c r="A117" s="5" t="s">
        <v>145</v>
      </c>
      <c r="B117" s="5" t="s">
        <v>24</v>
      </c>
      <c r="C117" s="5">
        <v>107844.0</v>
      </c>
      <c r="D117" s="5">
        <v>207241.0</v>
      </c>
      <c r="E117" s="5">
        <v>300.0</v>
      </c>
      <c r="F117" s="5">
        <v>50.0</v>
      </c>
      <c r="G117" s="6">
        <f t="shared" si="1"/>
        <v>165792.8</v>
      </c>
      <c r="H117" s="6">
        <f t="shared" si="2"/>
        <v>25.37240363</v>
      </c>
      <c r="I117" s="6">
        <f t="shared" si="3"/>
        <v>630.7017006</v>
      </c>
      <c r="J117" s="6">
        <v>737.3284831863363</v>
      </c>
      <c r="K117" s="7">
        <f t="shared" si="4"/>
        <v>765.390177</v>
      </c>
    </row>
    <row r="118" ht="22.5" customHeight="1">
      <c r="A118" s="5" t="s">
        <v>146</v>
      </c>
      <c r="B118" s="5" t="s">
        <v>24</v>
      </c>
      <c r="C118" s="5">
        <v>107737.0</v>
      </c>
      <c r="D118" s="5">
        <v>208385.0</v>
      </c>
      <c r="E118" s="5">
        <v>300.0</v>
      </c>
      <c r="F118" s="5">
        <v>50.0</v>
      </c>
      <c r="G118" s="6">
        <f t="shared" si="1"/>
        <v>166708</v>
      </c>
      <c r="H118" s="6">
        <f t="shared" si="2"/>
        <v>25.51246294</v>
      </c>
      <c r="I118" s="6">
        <f t="shared" si="3"/>
        <v>633.1367821</v>
      </c>
      <c r="J118" s="6">
        <v>740.1752408629358</v>
      </c>
      <c r="K118" s="7">
        <f t="shared" si="4"/>
        <v>768.500781</v>
      </c>
    </row>
    <row r="119" ht="22.5" customHeight="1">
      <c r="A119" s="5" t="s">
        <v>147</v>
      </c>
      <c r="B119" s="5" t="s">
        <v>24</v>
      </c>
      <c r="C119" s="5">
        <v>107700.0</v>
      </c>
      <c r="D119" s="5">
        <v>209067.0</v>
      </c>
      <c r="E119" s="5">
        <v>300.0</v>
      </c>
      <c r="F119" s="5">
        <v>50.0</v>
      </c>
      <c r="G119" s="6">
        <f t="shared" si="1"/>
        <v>167253.6</v>
      </c>
      <c r="H119" s="6">
        <f t="shared" si="2"/>
        <v>25.59595983</v>
      </c>
      <c r="I119" s="6">
        <f t="shared" si="3"/>
        <v>634.5865569</v>
      </c>
      <c r="J119" s="6">
        <v>741.8701154212623</v>
      </c>
      <c r="K119" s="7">
        <f t="shared" si="4"/>
        <v>770.3534319</v>
      </c>
    </row>
    <row r="120" ht="22.5" customHeight="1">
      <c r="A120" s="5" t="s">
        <v>148</v>
      </c>
      <c r="B120" s="5" t="s">
        <v>24</v>
      </c>
      <c r="C120" s="5">
        <v>107553.0</v>
      </c>
      <c r="D120" s="5">
        <v>207562.0</v>
      </c>
      <c r="E120" s="5">
        <v>300.0</v>
      </c>
      <c r="F120" s="5">
        <v>50.0</v>
      </c>
      <c r="G120" s="6">
        <f t="shared" si="1"/>
        <v>166049.6</v>
      </c>
      <c r="H120" s="6">
        <f t="shared" si="2"/>
        <v>25.41170349</v>
      </c>
      <c r="I120" s="6">
        <f t="shared" si="3"/>
        <v>631.385377</v>
      </c>
      <c r="J120" s="6">
        <v>738.1277422264171</v>
      </c>
      <c r="K120" s="7">
        <f t="shared" si="4"/>
        <v>766.2633672</v>
      </c>
    </row>
    <row r="121" ht="22.5" customHeight="1">
      <c r="A121" s="5" t="s">
        <v>149</v>
      </c>
      <c r="B121" s="5" t="s">
        <v>24</v>
      </c>
      <c r="C121" s="5">
        <v>107450.0</v>
      </c>
      <c r="D121" s="5">
        <v>208822.0</v>
      </c>
      <c r="E121" s="5">
        <v>300.0</v>
      </c>
      <c r="F121" s="5">
        <v>50.0</v>
      </c>
      <c r="G121" s="6">
        <f t="shared" si="1"/>
        <v>167057.6</v>
      </c>
      <c r="H121" s="6">
        <f t="shared" si="2"/>
        <v>25.56596461</v>
      </c>
      <c r="I121" s="6">
        <f t="shared" si="3"/>
        <v>634.0659069</v>
      </c>
      <c r="J121" s="6">
        <v>741.2614440341009</v>
      </c>
      <c r="K121" s="7">
        <f t="shared" si="4"/>
        <v>769.6880398</v>
      </c>
    </row>
    <row r="122" ht="22.5" customHeight="1">
      <c r="A122" s="5" t="s">
        <v>150</v>
      </c>
      <c r="B122" s="5" t="s">
        <v>24</v>
      </c>
      <c r="C122" s="5">
        <v>107198.0</v>
      </c>
      <c r="D122" s="5">
        <v>206610.0</v>
      </c>
      <c r="E122" s="5">
        <v>300.0</v>
      </c>
      <c r="F122" s="5">
        <v>50.0</v>
      </c>
      <c r="G122" s="6">
        <f t="shared" si="1"/>
        <v>165288</v>
      </c>
      <c r="H122" s="6">
        <f t="shared" si="2"/>
        <v>25.29515065</v>
      </c>
      <c r="I122" s="6">
        <f t="shared" si="3"/>
        <v>629.3568493</v>
      </c>
      <c r="J122" s="6">
        <v>735.7562704990501</v>
      </c>
      <c r="K122" s="7">
        <f t="shared" si="4"/>
        <v>763.6728691</v>
      </c>
    </row>
    <row r="123" ht="22.5" customHeight="1">
      <c r="A123" s="5" t="s">
        <v>151</v>
      </c>
      <c r="B123" s="5" t="s">
        <v>24</v>
      </c>
      <c r="C123" s="5">
        <v>107026.0</v>
      </c>
      <c r="D123" s="5">
        <v>207987.0</v>
      </c>
      <c r="E123" s="5">
        <v>300.0</v>
      </c>
      <c r="F123" s="5">
        <v>50.0</v>
      </c>
      <c r="G123" s="6">
        <f t="shared" si="1"/>
        <v>166389.6</v>
      </c>
      <c r="H123" s="6">
        <f t="shared" si="2"/>
        <v>25.46373601</v>
      </c>
      <c r="I123" s="6">
        <f t="shared" si="3"/>
        <v>632.2900681</v>
      </c>
      <c r="J123" s="6">
        <v>739.1853809941929</v>
      </c>
      <c r="K123" s="7">
        <f t="shared" si="4"/>
        <v>767.4190131</v>
      </c>
    </row>
    <row r="124" ht="22.5" customHeight="1">
      <c r="A124" s="5" t="s">
        <v>152</v>
      </c>
      <c r="B124" s="5" t="s">
        <v>24</v>
      </c>
      <c r="C124" s="5">
        <v>106847.0</v>
      </c>
      <c r="D124" s="5">
        <v>206080.0</v>
      </c>
      <c r="E124" s="5">
        <v>300.0</v>
      </c>
      <c r="F124" s="5">
        <v>50.0</v>
      </c>
      <c r="G124" s="6">
        <f t="shared" si="1"/>
        <v>164864</v>
      </c>
      <c r="H124" s="6">
        <f t="shared" si="2"/>
        <v>25.23026303</v>
      </c>
      <c r="I124" s="6">
        <f t="shared" si="3"/>
        <v>628.226307</v>
      </c>
      <c r="J124" s="6">
        <v>734.434598141594</v>
      </c>
      <c r="K124" s="7">
        <f t="shared" si="4"/>
        <v>762.2295653</v>
      </c>
    </row>
    <row r="125" ht="22.5" customHeight="1">
      <c r="A125" s="5" t="s">
        <v>153</v>
      </c>
      <c r="B125" s="5" t="s">
        <v>24</v>
      </c>
      <c r="C125" s="5">
        <v>106413.0</v>
      </c>
      <c r="D125" s="5">
        <v>207860.0</v>
      </c>
      <c r="E125" s="5">
        <v>300.0</v>
      </c>
      <c r="F125" s="5">
        <v>50.0</v>
      </c>
      <c r="G125" s="6">
        <f t="shared" si="1"/>
        <v>166288</v>
      </c>
      <c r="H125" s="6">
        <f t="shared" si="2"/>
        <v>25.44818747</v>
      </c>
      <c r="I125" s="6">
        <f t="shared" si="3"/>
        <v>632.0197833</v>
      </c>
      <c r="J125" s="6">
        <v>738.86940162616</v>
      </c>
      <c r="K125" s="7">
        <f t="shared" si="4"/>
        <v>767.0737322</v>
      </c>
    </row>
    <row r="126" ht="22.5" customHeight="1">
      <c r="A126" s="5" t="s">
        <v>154</v>
      </c>
      <c r="B126" s="5" t="s">
        <v>24</v>
      </c>
      <c r="C126" s="5">
        <v>106367.0</v>
      </c>
      <c r="D126" s="5">
        <v>207875.0</v>
      </c>
      <c r="E126" s="5">
        <v>300.0</v>
      </c>
      <c r="F126" s="5">
        <v>50.0</v>
      </c>
      <c r="G126" s="6">
        <f t="shared" si="1"/>
        <v>166300</v>
      </c>
      <c r="H126" s="6">
        <f t="shared" si="2"/>
        <v>25.45002391</v>
      </c>
      <c r="I126" s="6">
        <f t="shared" si="3"/>
        <v>632.0517093</v>
      </c>
      <c r="J126" s="6">
        <v>738.9067250397129</v>
      </c>
      <c r="K126" s="7">
        <f t="shared" si="4"/>
        <v>767.1145158</v>
      </c>
    </row>
    <row r="127" ht="22.5" customHeight="1">
      <c r="A127" s="5" t="s">
        <v>155</v>
      </c>
      <c r="B127" s="5" t="s">
        <v>24</v>
      </c>
      <c r="C127" s="5">
        <v>105964.0</v>
      </c>
      <c r="D127" s="5">
        <v>208480.0</v>
      </c>
      <c r="E127" s="5">
        <v>300.0</v>
      </c>
      <c r="F127" s="5">
        <v>50.0</v>
      </c>
      <c r="G127" s="6">
        <f t="shared" si="1"/>
        <v>166784</v>
      </c>
      <c r="H127" s="6">
        <f t="shared" si="2"/>
        <v>25.52409374</v>
      </c>
      <c r="I127" s="6">
        <f t="shared" si="3"/>
        <v>633.3388154</v>
      </c>
      <c r="J127" s="6">
        <v>740.4114300716398</v>
      </c>
      <c r="K127" s="7">
        <f t="shared" si="4"/>
        <v>768.7589262</v>
      </c>
    </row>
    <row r="128" ht="22.5" customHeight="1">
      <c r="A128" s="5" t="s">
        <v>156</v>
      </c>
      <c r="B128" s="5" t="s">
        <v>19</v>
      </c>
      <c r="C128" s="5">
        <v>105644.0</v>
      </c>
      <c r="D128" s="5">
        <v>95660.0</v>
      </c>
      <c r="E128" s="5">
        <v>332.0</v>
      </c>
      <c r="F128" s="5">
        <v>45.0</v>
      </c>
      <c r="G128" s="6">
        <f t="shared" si="1"/>
        <v>76528</v>
      </c>
      <c r="H128" s="6">
        <f t="shared" si="2"/>
        <v>13.06515183</v>
      </c>
      <c r="I128" s="6">
        <f t="shared" si="3"/>
        <v>367.1151356</v>
      </c>
      <c r="J128" s="6">
        <v>429.1798259000872</v>
      </c>
      <c r="K128" s="7">
        <f t="shared" si="4"/>
        <v>437.5907753</v>
      </c>
    </row>
    <row r="129" ht="22.5" customHeight="1">
      <c r="A129" s="5" t="s">
        <v>157</v>
      </c>
      <c r="B129" s="5" t="s">
        <v>24</v>
      </c>
      <c r="C129" s="5">
        <v>104721.0</v>
      </c>
      <c r="D129" s="5">
        <v>206312.0</v>
      </c>
      <c r="E129" s="5">
        <v>300.0</v>
      </c>
      <c r="F129" s="5">
        <v>50.0</v>
      </c>
      <c r="G129" s="6">
        <f t="shared" si="1"/>
        <v>165049.6</v>
      </c>
      <c r="H129" s="6">
        <f t="shared" si="2"/>
        <v>25.25866667</v>
      </c>
      <c r="I129" s="6">
        <f t="shared" si="3"/>
        <v>628.7212931</v>
      </c>
      <c r="J129" s="6">
        <v>735.013266850284</v>
      </c>
      <c r="K129" s="7">
        <f t="shared" si="4"/>
        <v>762.8614495</v>
      </c>
    </row>
    <row r="130" ht="22.5" customHeight="1">
      <c r="A130" s="5" t="s">
        <v>158</v>
      </c>
      <c r="B130" s="5" t="s">
        <v>45</v>
      </c>
      <c r="C130" s="5">
        <v>103928.0</v>
      </c>
      <c r="D130" s="5">
        <v>89670.0</v>
      </c>
      <c r="E130" s="5">
        <v>294.0</v>
      </c>
      <c r="F130" s="5">
        <v>44.0</v>
      </c>
      <c r="G130" s="6">
        <f t="shared" si="1"/>
        <v>71736</v>
      </c>
      <c r="H130" s="6">
        <f t="shared" si="2"/>
        <v>14.46577422</v>
      </c>
      <c r="I130" s="6">
        <f t="shared" si="3"/>
        <v>350.8682295</v>
      </c>
      <c r="J130" s="6">
        <v>410.18620879556255</v>
      </c>
      <c r="K130" s="7">
        <f t="shared" si="4"/>
        <v>419.0867004</v>
      </c>
    </row>
    <row r="131" ht="22.5" customHeight="1">
      <c r="A131" s="5" t="s">
        <v>159</v>
      </c>
      <c r="B131" s="5" t="s">
        <v>40</v>
      </c>
      <c r="C131" s="5">
        <v>102669.0</v>
      </c>
      <c r="D131" s="5">
        <v>8200.0</v>
      </c>
      <c r="E131" s="5">
        <v>272.0</v>
      </c>
      <c r="F131" s="5">
        <v>36.0</v>
      </c>
      <c r="G131" s="6">
        <f t="shared" si="1"/>
        <v>6560</v>
      </c>
      <c r="H131" s="6">
        <f t="shared" si="2"/>
        <v>2.135930625</v>
      </c>
      <c r="I131" s="6">
        <f t="shared" si="3"/>
        <v>56.36557395</v>
      </c>
      <c r="J131" s="6">
        <v>65.89476943252642</v>
      </c>
      <c r="K131" s="7">
        <f t="shared" si="4"/>
        <v>66.10588942</v>
      </c>
    </row>
    <row r="132" ht="22.5" customHeight="1">
      <c r="A132" s="5" t="s">
        <v>160</v>
      </c>
      <c r="B132" s="5" t="s">
        <v>45</v>
      </c>
      <c r="C132" s="5">
        <v>102100.0</v>
      </c>
      <c r="D132" s="5">
        <v>82058.0</v>
      </c>
      <c r="E132" s="5">
        <v>286.0</v>
      </c>
      <c r="F132" s="5">
        <v>43.0</v>
      </c>
      <c r="G132" s="6">
        <f t="shared" si="1"/>
        <v>65646.4</v>
      </c>
      <c r="H132" s="6">
        <f t="shared" si="2"/>
        <v>14.24836984</v>
      </c>
      <c r="I132" s="6">
        <f t="shared" si="3"/>
        <v>329.7430692</v>
      </c>
      <c r="J132" s="6">
        <v>385.48961705426115</v>
      </c>
      <c r="K132" s="7">
        <f t="shared" si="4"/>
        <v>393.728515</v>
      </c>
    </row>
    <row r="133" ht="22.5" customHeight="1">
      <c r="A133" s="5" t="s">
        <v>161</v>
      </c>
      <c r="B133" s="5" t="s">
        <v>24</v>
      </c>
      <c r="C133" s="5">
        <v>101933.0</v>
      </c>
      <c r="D133" s="5">
        <v>203277.0</v>
      </c>
      <c r="E133" s="5">
        <v>300.0</v>
      </c>
      <c r="F133" s="5">
        <v>50.0</v>
      </c>
      <c r="G133" s="6">
        <f t="shared" si="1"/>
        <v>162621.6</v>
      </c>
      <c r="H133" s="6">
        <f t="shared" si="2"/>
        <v>24.88709326</v>
      </c>
      <c r="I133" s="6">
        <f t="shared" si="3"/>
        <v>622.2326509</v>
      </c>
      <c r="J133" s="6">
        <v>727.4276511929279</v>
      </c>
      <c r="K133" s="7">
        <f t="shared" si="4"/>
        <v>754.5829909</v>
      </c>
    </row>
    <row r="134" ht="22.5" customHeight="1">
      <c r="A134" s="5" t="s">
        <v>162</v>
      </c>
      <c r="B134" s="5" t="s">
        <v>19</v>
      </c>
      <c r="C134" s="5">
        <v>101063.0</v>
      </c>
      <c r="D134" s="5">
        <v>103891.0</v>
      </c>
      <c r="E134" s="5">
        <v>335.0</v>
      </c>
      <c r="F134" s="5">
        <v>46.0</v>
      </c>
      <c r="G134" s="6">
        <f t="shared" si="1"/>
        <v>83112.8</v>
      </c>
      <c r="H134" s="6">
        <f t="shared" si="2"/>
        <v>13.45750817</v>
      </c>
      <c r="I134" s="6">
        <f t="shared" si="3"/>
        <v>388.9516115</v>
      </c>
      <c r="J134" s="6">
        <v>454.70798865120173</v>
      </c>
      <c r="K134" s="7">
        <f t="shared" si="4"/>
        <v>463.8868434</v>
      </c>
    </row>
    <row r="135" ht="22.5" customHeight="1">
      <c r="A135" s="5" t="s">
        <v>163</v>
      </c>
      <c r="B135" s="5" t="s">
        <v>19</v>
      </c>
      <c r="C135" s="5">
        <v>100430.0</v>
      </c>
      <c r="D135" s="5">
        <v>55738.0</v>
      </c>
      <c r="E135" s="5">
        <v>296.0</v>
      </c>
      <c r="F135" s="5">
        <v>38.0</v>
      </c>
      <c r="G135" s="6">
        <f t="shared" si="1"/>
        <v>44590.4</v>
      </c>
      <c r="H135" s="6">
        <f t="shared" si="2"/>
        <v>11.97401155</v>
      </c>
      <c r="I135" s="6">
        <f t="shared" si="3"/>
        <v>251.5341716</v>
      </c>
      <c r="J135" s="6">
        <v>294.0586794204837</v>
      </c>
      <c r="K135" s="7">
        <f t="shared" si="4"/>
        <v>299.3402725</v>
      </c>
    </row>
    <row r="136" ht="22.5" customHeight="1">
      <c r="A136" s="5" t="s">
        <v>164</v>
      </c>
      <c r="B136" s="5" t="s">
        <v>19</v>
      </c>
      <c r="C136" s="5">
        <v>99995.0</v>
      </c>
      <c r="D136" s="5">
        <v>103668.0</v>
      </c>
      <c r="E136" s="5">
        <v>335.0</v>
      </c>
      <c r="F136" s="5">
        <v>46.0</v>
      </c>
      <c r="G136" s="6">
        <f t="shared" si="1"/>
        <v>82934.4</v>
      </c>
      <c r="H136" s="6">
        <f t="shared" si="2"/>
        <v>13.42862189</v>
      </c>
      <c r="I136" s="6">
        <f t="shared" si="3"/>
        <v>388.3670092</v>
      </c>
      <c r="J136" s="6">
        <v>454.02455320576036</v>
      </c>
      <c r="K136" s="7">
        <f t="shared" si="4"/>
        <v>463.1699393</v>
      </c>
    </row>
    <row r="137" ht="22.5" customHeight="1">
      <c r="A137" s="5" t="s">
        <v>165</v>
      </c>
      <c r="B137" s="5" t="s">
        <v>40</v>
      </c>
      <c r="C137" s="5">
        <v>99526.0</v>
      </c>
      <c r="D137" s="5">
        <v>7900.0</v>
      </c>
      <c r="E137" s="5">
        <v>293.0</v>
      </c>
      <c r="F137" s="5">
        <v>42.0</v>
      </c>
      <c r="G137" s="6">
        <f t="shared" si="1"/>
        <v>6320</v>
      </c>
      <c r="H137" s="6">
        <f t="shared" si="2"/>
        <v>1.403486004</v>
      </c>
      <c r="I137" s="6">
        <f t="shared" si="3"/>
        <v>54.91401536</v>
      </c>
      <c r="J137" s="6">
        <v>64.19780953481865</v>
      </c>
      <c r="K137" s="7">
        <f t="shared" si="4"/>
        <v>64.33296063</v>
      </c>
    </row>
    <row r="138" ht="22.5" customHeight="1">
      <c r="A138" s="5" t="s">
        <v>166</v>
      </c>
      <c r="B138" s="5" t="s">
        <v>45</v>
      </c>
      <c r="C138" s="5">
        <v>98798.0</v>
      </c>
      <c r="D138" s="5">
        <v>83688.0</v>
      </c>
      <c r="E138" s="5">
        <v>288.0</v>
      </c>
      <c r="F138" s="5">
        <v>43.0</v>
      </c>
      <c r="G138" s="6">
        <f t="shared" si="1"/>
        <v>66950.4</v>
      </c>
      <c r="H138" s="6">
        <f t="shared" si="2"/>
        <v>14.43048694</v>
      </c>
      <c r="I138" s="6">
        <f t="shared" si="3"/>
        <v>334.3145351</v>
      </c>
      <c r="J138" s="6">
        <v>390.8339375196735</v>
      </c>
      <c r="K138" s="7">
        <f t="shared" si="4"/>
        <v>399.2938236</v>
      </c>
    </row>
    <row r="139" ht="22.5" customHeight="1">
      <c r="A139" s="5" t="s">
        <v>167</v>
      </c>
      <c r="B139" s="5" t="s">
        <v>45</v>
      </c>
      <c r="C139" s="5">
        <v>98490.0</v>
      </c>
      <c r="D139" s="5">
        <v>72800.0</v>
      </c>
      <c r="E139" s="5">
        <v>284.0</v>
      </c>
      <c r="F139" s="5">
        <v>43.0</v>
      </c>
      <c r="G139" s="6">
        <f t="shared" si="1"/>
        <v>58240</v>
      </c>
      <c r="H139" s="6">
        <f t="shared" si="2"/>
        <v>12.72985111</v>
      </c>
      <c r="I139" s="6">
        <f t="shared" si="3"/>
        <v>303.2375591</v>
      </c>
      <c r="J139" s="6">
        <v>354.50307054494243</v>
      </c>
      <c r="K139" s="7">
        <f t="shared" si="4"/>
        <v>361.2722275</v>
      </c>
    </row>
    <row r="140" ht="22.5" customHeight="1">
      <c r="A140" s="5" t="s">
        <v>168</v>
      </c>
      <c r="B140" s="5" t="s">
        <v>19</v>
      </c>
      <c r="C140" s="5">
        <v>97825.0</v>
      </c>
      <c r="D140" s="5">
        <v>103207.0</v>
      </c>
      <c r="E140" s="5">
        <v>338.0</v>
      </c>
      <c r="F140" s="5">
        <v>46.0</v>
      </c>
      <c r="G140" s="6">
        <f t="shared" si="1"/>
        <v>82565.6</v>
      </c>
      <c r="H140" s="6">
        <f t="shared" si="2"/>
        <v>13.25024738</v>
      </c>
      <c r="I140" s="6">
        <f t="shared" si="3"/>
        <v>387.157284</v>
      </c>
      <c r="J140" s="6">
        <v>452.61031118655853</v>
      </c>
      <c r="K140" s="7">
        <f t="shared" si="4"/>
        <v>461.6061091</v>
      </c>
    </row>
    <row r="141" ht="22.5" customHeight="1">
      <c r="A141" s="5" t="s">
        <v>169</v>
      </c>
      <c r="B141" s="5" t="s">
        <v>45</v>
      </c>
      <c r="C141" s="5">
        <v>97491.0</v>
      </c>
      <c r="D141" s="5">
        <v>84823.0</v>
      </c>
      <c r="E141" s="5">
        <v>277.0</v>
      </c>
      <c r="F141" s="5">
        <v>43.0</v>
      </c>
      <c r="G141" s="6">
        <f t="shared" si="1"/>
        <v>67858.4</v>
      </c>
      <c r="H141" s="6">
        <f t="shared" si="2"/>
        <v>15.20702094</v>
      </c>
      <c r="I141" s="6">
        <f t="shared" si="3"/>
        <v>337.4819629</v>
      </c>
      <c r="J141" s="6">
        <v>394.53685249290453</v>
      </c>
      <c r="K141" s="7">
        <f t="shared" si="4"/>
        <v>403.5364478</v>
      </c>
    </row>
    <row r="142" ht="22.5" customHeight="1">
      <c r="A142" s="5" t="s">
        <v>170</v>
      </c>
      <c r="B142" s="5" t="s">
        <v>19</v>
      </c>
      <c r="C142" s="5">
        <v>96628.0</v>
      </c>
      <c r="D142" s="5">
        <v>116384.0</v>
      </c>
      <c r="E142" s="5">
        <v>300.0</v>
      </c>
      <c r="F142" s="5">
        <v>48.0</v>
      </c>
      <c r="G142" s="6">
        <f t="shared" si="1"/>
        <v>93107.2</v>
      </c>
      <c r="H142" s="6">
        <f t="shared" si="2"/>
        <v>15.4609703</v>
      </c>
      <c r="I142" s="6">
        <f t="shared" si="3"/>
        <v>421.1301375</v>
      </c>
      <c r="J142" s="6">
        <v>492.32663430489646</v>
      </c>
      <c r="K142" s="7">
        <f t="shared" si="4"/>
        <v>503.7444055</v>
      </c>
    </row>
    <row r="143" ht="22.5" customHeight="1">
      <c r="A143" s="5" t="s">
        <v>171</v>
      </c>
      <c r="B143" s="5" t="s">
        <v>19</v>
      </c>
      <c r="C143" s="5">
        <v>96333.0</v>
      </c>
      <c r="D143" s="5">
        <v>127360.0</v>
      </c>
      <c r="E143" s="5">
        <v>300.0</v>
      </c>
      <c r="F143" s="5">
        <v>48.0</v>
      </c>
      <c r="G143" s="6">
        <f t="shared" si="1"/>
        <v>101888</v>
      </c>
      <c r="H143" s="6">
        <f t="shared" si="2"/>
        <v>16.91907115</v>
      </c>
      <c r="I143" s="6">
        <f t="shared" si="3"/>
        <v>448.5534092</v>
      </c>
      <c r="J143" s="6">
        <v>524.386099647231</v>
      </c>
      <c r="K143" s="7">
        <f t="shared" si="4"/>
        <v>537.6942882</v>
      </c>
    </row>
    <row r="144" ht="22.5" customHeight="1">
      <c r="A144" s="5" t="s">
        <v>172</v>
      </c>
      <c r="B144" s="5" t="s">
        <v>19</v>
      </c>
      <c r="C144" s="5">
        <v>96223.0</v>
      </c>
      <c r="D144" s="5">
        <v>110200.0</v>
      </c>
      <c r="E144" s="5">
        <v>300.0</v>
      </c>
      <c r="F144" s="5">
        <v>48.0</v>
      </c>
      <c r="G144" s="6">
        <f t="shared" si="1"/>
        <v>88160</v>
      </c>
      <c r="H144" s="6">
        <f t="shared" si="2"/>
        <v>14.63946012</v>
      </c>
      <c r="I144" s="6">
        <f t="shared" si="3"/>
        <v>405.3387676</v>
      </c>
      <c r="J144" s="6">
        <v>473.8655665606516</v>
      </c>
      <c r="K144" s="7">
        <f t="shared" si="4"/>
        <v>484.2712707</v>
      </c>
    </row>
    <row r="145" ht="22.5" customHeight="1">
      <c r="A145" s="5" t="s">
        <v>173</v>
      </c>
      <c r="B145" s="5" t="s">
        <v>19</v>
      </c>
      <c r="C145" s="5">
        <v>95681.0</v>
      </c>
      <c r="D145" s="5">
        <v>98968.0</v>
      </c>
      <c r="E145" s="5">
        <v>340.0</v>
      </c>
      <c r="F145" s="5">
        <v>46.0</v>
      </c>
      <c r="G145" s="6">
        <f t="shared" si="1"/>
        <v>79174.4</v>
      </c>
      <c r="H145" s="6">
        <f t="shared" si="2"/>
        <v>12.63128137</v>
      </c>
      <c r="I145" s="6">
        <f t="shared" si="3"/>
        <v>375.9563134</v>
      </c>
      <c r="J145" s="6">
        <v>439.5156982015022</v>
      </c>
      <c r="K145" s="7">
        <f t="shared" si="4"/>
        <v>447.8431679</v>
      </c>
    </row>
    <row r="146" ht="22.5" customHeight="1">
      <c r="A146" s="5" t="s">
        <v>174</v>
      </c>
      <c r="B146" s="5" t="s">
        <v>19</v>
      </c>
      <c r="C146" s="5">
        <v>95514.0</v>
      </c>
      <c r="D146" s="5">
        <v>110482.0</v>
      </c>
      <c r="E146" s="5">
        <v>300.0</v>
      </c>
      <c r="F146" s="5">
        <v>48.0</v>
      </c>
      <c r="G146" s="6">
        <f t="shared" si="1"/>
        <v>88385.6</v>
      </c>
      <c r="H146" s="6">
        <f t="shared" si="2"/>
        <v>14.67692226</v>
      </c>
      <c r="I146" s="6">
        <f t="shared" si="3"/>
        <v>406.0645679</v>
      </c>
      <c r="J146" s="6">
        <v>474.71407107143347</v>
      </c>
      <c r="K146" s="7">
        <f t="shared" si="4"/>
        <v>485.1650833</v>
      </c>
    </row>
    <row r="147" ht="22.5" customHeight="1">
      <c r="A147" s="5" t="s">
        <v>175</v>
      </c>
      <c r="B147" s="5" t="s">
        <v>19</v>
      </c>
      <c r="C147" s="5">
        <v>95166.0</v>
      </c>
      <c r="D147" s="5">
        <v>112434.0</v>
      </c>
      <c r="E147" s="5">
        <v>300.0</v>
      </c>
      <c r="F147" s="5">
        <v>48.0</v>
      </c>
      <c r="G147" s="6">
        <f t="shared" si="1"/>
        <v>89947.2</v>
      </c>
      <c r="H147" s="6">
        <f t="shared" si="2"/>
        <v>14.93623466</v>
      </c>
      <c r="I147" s="6">
        <f t="shared" si="3"/>
        <v>411.0734138</v>
      </c>
      <c r="J147" s="6">
        <v>480.56971526633345</v>
      </c>
      <c r="K147" s="7">
        <f t="shared" si="4"/>
        <v>491.3365683</v>
      </c>
    </row>
    <row r="148" ht="22.5" customHeight="1">
      <c r="A148" s="5" t="s">
        <v>176</v>
      </c>
      <c r="B148" s="5" t="s">
        <v>24</v>
      </c>
      <c r="C148" s="5">
        <v>95047.0</v>
      </c>
      <c r="D148" s="5">
        <v>180716.0</v>
      </c>
      <c r="E148" s="5">
        <v>292.0</v>
      </c>
      <c r="F148" s="5">
        <v>45.0</v>
      </c>
      <c r="G148" s="6">
        <f t="shared" si="1"/>
        <v>144572.8</v>
      </c>
      <c r="H148" s="6">
        <f t="shared" si="2"/>
        <v>28.06311798</v>
      </c>
      <c r="I148" s="6">
        <f t="shared" si="3"/>
        <v>573.0448981</v>
      </c>
      <c r="J148" s="6">
        <v>669.9241892928061</v>
      </c>
      <c r="K148" s="7">
        <f t="shared" si="4"/>
        <v>698.1244316</v>
      </c>
    </row>
    <row r="149" ht="22.5" customHeight="1">
      <c r="A149" s="5" t="s">
        <v>177</v>
      </c>
      <c r="B149" s="5" t="s">
        <v>45</v>
      </c>
      <c r="C149" s="5">
        <v>94934.0</v>
      </c>
      <c r="D149" s="5">
        <v>74894.0</v>
      </c>
      <c r="E149" s="5">
        <v>280.0</v>
      </c>
      <c r="F149" s="5">
        <v>43.0</v>
      </c>
      <c r="G149" s="6">
        <f t="shared" si="1"/>
        <v>59915.2</v>
      </c>
      <c r="H149" s="6">
        <f t="shared" si="2"/>
        <v>13.28309503</v>
      </c>
      <c r="I149" s="6">
        <f t="shared" si="3"/>
        <v>309.3171108</v>
      </c>
      <c r="J149" s="6">
        <v>361.6104347515014</v>
      </c>
      <c r="K149" s="7">
        <f t="shared" si="4"/>
        <v>368.8153934</v>
      </c>
    </row>
    <row r="150" ht="22.5" customHeight="1">
      <c r="A150" s="5" t="s">
        <v>178</v>
      </c>
      <c r="B150" s="5" t="s">
        <v>24</v>
      </c>
      <c r="C150" s="5">
        <v>94863.0</v>
      </c>
      <c r="D150" s="5">
        <v>180403.0</v>
      </c>
      <c r="E150" s="5">
        <v>295.0</v>
      </c>
      <c r="F150" s="5">
        <v>46.0</v>
      </c>
      <c r="G150" s="6">
        <f t="shared" si="1"/>
        <v>144322.4</v>
      </c>
      <c r="H150" s="6">
        <f t="shared" si="2"/>
        <v>26.53708844</v>
      </c>
      <c r="I150" s="6">
        <f t="shared" si="3"/>
        <v>572.349958</v>
      </c>
      <c r="J150" s="6">
        <v>669.1117623242217</v>
      </c>
      <c r="K150" s="7">
        <f t="shared" si="4"/>
        <v>695.7461793</v>
      </c>
    </row>
    <row r="151" ht="22.5" customHeight="1">
      <c r="A151" s="5" t="s">
        <v>179</v>
      </c>
      <c r="B151" s="5" t="s">
        <v>24</v>
      </c>
      <c r="C151" s="5">
        <v>94779.0</v>
      </c>
      <c r="D151" s="5">
        <v>184872.0</v>
      </c>
      <c r="E151" s="5">
        <v>290.0</v>
      </c>
      <c r="F151" s="5">
        <v>47.0</v>
      </c>
      <c r="G151" s="6">
        <f t="shared" si="1"/>
        <v>147897.6</v>
      </c>
      <c r="H151" s="6">
        <f t="shared" si="2"/>
        <v>26.49870325</v>
      </c>
      <c r="I151" s="6">
        <f t="shared" si="3"/>
        <v>582.2383725</v>
      </c>
      <c r="J151" s="6">
        <v>680.6719176635816</v>
      </c>
      <c r="K151" s="7">
        <f t="shared" si="4"/>
        <v>707.7273024</v>
      </c>
    </row>
    <row r="152" ht="22.5" customHeight="1">
      <c r="A152" s="5" t="s">
        <v>180</v>
      </c>
      <c r="B152" s="5" t="s">
        <v>24</v>
      </c>
      <c r="C152" s="5">
        <v>94710.0</v>
      </c>
      <c r="D152" s="5">
        <v>180125.0</v>
      </c>
      <c r="E152" s="5">
        <v>295.0</v>
      </c>
      <c r="F152" s="5">
        <v>46.0</v>
      </c>
      <c r="G152" s="6">
        <f t="shared" si="1"/>
        <v>144100</v>
      </c>
      <c r="H152" s="6">
        <f t="shared" si="2"/>
        <v>26.49619494</v>
      </c>
      <c r="I152" s="6">
        <f t="shared" si="3"/>
        <v>571.7324236</v>
      </c>
      <c r="J152" s="6">
        <v>668.3898271745937</v>
      </c>
      <c r="K152" s="7">
        <f t="shared" si="4"/>
        <v>694.9545079</v>
      </c>
    </row>
    <row r="153" ht="22.5" customHeight="1">
      <c r="A153" s="5" t="s">
        <v>181</v>
      </c>
      <c r="B153" s="5" t="s">
        <v>24</v>
      </c>
      <c r="C153" s="5">
        <v>94710.0</v>
      </c>
      <c r="D153" s="5">
        <v>180311.0</v>
      </c>
      <c r="E153" s="5">
        <v>295.0</v>
      </c>
      <c r="F153" s="5">
        <v>46.0</v>
      </c>
      <c r="G153" s="6">
        <f t="shared" si="1"/>
        <v>144248.8</v>
      </c>
      <c r="H153" s="6">
        <f t="shared" si="2"/>
        <v>26.52355534</v>
      </c>
      <c r="I153" s="6">
        <f t="shared" si="3"/>
        <v>572.1456257</v>
      </c>
      <c r="J153" s="6">
        <v>668.8728855069281</v>
      </c>
      <c r="K153" s="7">
        <f t="shared" si="4"/>
        <v>695.484216</v>
      </c>
    </row>
    <row r="154" ht="22.5" customHeight="1">
      <c r="A154" s="5" t="s">
        <v>182</v>
      </c>
      <c r="B154" s="5" t="s">
        <v>19</v>
      </c>
      <c r="C154" s="5">
        <v>94623.0</v>
      </c>
      <c r="D154" s="5">
        <v>111290.0</v>
      </c>
      <c r="E154" s="5">
        <v>300.0</v>
      </c>
      <c r="F154" s="5">
        <v>48.0</v>
      </c>
      <c r="G154" s="6">
        <f t="shared" si="1"/>
        <v>89032</v>
      </c>
      <c r="H154" s="6">
        <f t="shared" si="2"/>
        <v>14.78426059</v>
      </c>
      <c r="I154" s="6">
        <f t="shared" si="3"/>
        <v>408.1410959</v>
      </c>
      <c r="J154" s="6">
        <v>477.14165803138366</v>
      </c>
      <c r="K154" s="7">
        <f t="shared" si="4"/>
        <v>487.7229379</v>
      </c>
    </row>
    <row r="155" ht="22.5" customHeight="1">
      <c r="A155" s="5" t="s">
        <v>183</v>
      </c>
      <c r="B155" s="5" t="s">
        <v>24</v>
      </c>
      <c r="C155" s="5">
        <v>94528.0</v>
      </c>
      <c r="D155" s="5">
        <v>180682.0</v>
      </c>
      <c r="E155" s="5">
        <v>292.0</v>
      </c>
      <c r="F155" s="5">
        <v>45.0</v>
      </c>
      <c r="G155" s="6">
        <f t="shared" si="1"/>
        <v>144545.6</v>
      </c>
      <c r="H155" s="6">
        <f t="shared" si="2"/>
        <v>28.05783818</v>
      </c>
      <c r="I155" s="6">
        <f t="shared" si="3"/>
        <v>572.9694268</v>
      </c>
      <c r="J155" s="6">
        <v>669.8359588887233</v>
      </c>
      <c r="K155" s="7">
        <f t="shared" si="4"/>
        <v>698.0271823</v>
      </c>
    </row>
    <row r="156" ht="22.5" customHeight="1">
      <c r="A156" s="5" t="s">
        <v>184</v>
      </c>
      <c r="B156" s="5" t="s">
        <v>19</v>
      </c>
      <c r="C156" s="5">
        <v>94453.0</v>
      </c>
      <c r="D156" s="5">
        <v>112516.0</v>
      </c>
      <c r="E156" s="5">
        <v>299.0</v>
      </c>
      <c r="F156" s="5">
        <v>48.0</v>
      </c>
      <c r="G156" s="6">
        <f t="shared" si="1"/>
        <v>90012.8</v>
      </c>
      <c r="H156" s="6">
        <f t="shared" si="2"/>
        <v>14.9971183</v>
      </c>
      <c r="I156" s="6">
        <f t="shared" si="3"/>
        <v>411.2832528</v>
      </c>
      <c r="J156" s="6">
        <v>480.8150297166939</v>
      </c>
      <c r="K156" s="7">
        <f t="shared" si="4"/>
        <v>491.6312895</v>
      </c>
    </row>
    <row r="157" ht="22.5" customHeight="1">
      <c r="A157" s="5" t="s">
        <v>185</v>
      </c>
      <c r="B157" s="5" t="s">
        <v>19</v>
      </c>
      <c r="C157" s="5">
        <v>94402.0</v>
      </c>
      <c r="D157" s="5">
        <v>111861.0</v>
      </c>
      <c r="E157" s="5">
        <v>300.0</v>
      </c>
      <c r="F157" s="5">
        <v>48.0</v>
      </c>
      <c r="G157" s="6">
        <f t="shared" si="1"/>
        <v>89488.8</v>
      </c>
      <c r="H157" s="6">
        <f t="shared" si="2"/>
        <v>14.86011478</v>
      </c>
      <c r="I157" s="6">
        <f t="shared" si="3"/>
        <v>409.6058162</v>
      </c>
      <c r="J157" s="6">
        <v>478.85400479097245</v>
      </c>
      <c r="K157" s="7">
        <f t="shared" si="4"/>
        <v>489.527743</v>
      </c>
    </row>
    <row r="158" ht="22.5" customHeight="1">
      <c r="A158" s="5" t="s">
        <v>186</v>
      </c>
      <c r="B158" s="5" t="s">
        <v>24</v>
      </c>
      <c r="C158" s="5">
        <v>94232.0</v>
      </c>
      <c r="D158" s="5">
        <v>179759.0</v>
      </c>
      <c r="E158" s="5">
        <v>292.0</v>
      </c>
      <c r="F158" s="5">
        <v>45.0</v>
      </c>
      <c r="G158" s="6">
        <f t="shared" si="1"/>
        <v>143807.2</v>
      </c>
      <c r="H158" s="6">
        <f t="shared" si="2"/>
        <v>27.91450688</v>
      </c>
      <c r="I158" s="6">
        <f t="shared" si="3"/>
        <v>570.9189744</v>
      </c>
      <c r="J158" s="6">
        <v>667.4388558372666</v>
      </c>
      <c r="K158" s="7">
        <f t="shared" si="4"/>
        <v>695.3856956</v>
      </c>
    </row>
    <row r="159" ht="22.5" customHeight="1">
      <c r="A159" s="5" t="s">
        <v>187</v>
      </c>
      <c r="B159" s="5" t="s">
        <v>45</v>
      </c>
      <c r="C159" s="5">
        <v>94058.0</v>
      </c>
      <c r="D159" s="5">
        <v>81097.0</v>
      </c>
      <c r="E159" s="5">
        <v>277.0</v>
      </c>
      <c r="F159" s="5">
        <v>43.0</v>
      </c>
      <c r="G159" s="6">
        <f t="shared" si="1"/>
        <v>64877.6</v>
      </c>
      <c r="H159" s="6">
        <f t="shared" si="2"/>
        <v>14.53902571</v>
      </c>
      <c r="I159" s="6">
        <f t="shared" si="3"/>
        <v>327.0351088</v>
      </c>
      <c r="J159" s="6">
        <v>382.32384730272764</v>
      </c>
      <c r="K159" s="7">
        <f t="shared" si="4"/>
        <v>390.6617717</v>
      </c>
    </row>
    <row r="160" ht="22.5" customHeight="1">
      <c r="A160" s="5" t="s">
        <v>188</v>
      </c>
      <c r="B160" s="5" t="s">
        <v>24</v>
      </c>
      <c r="C160" s="5">
        <v>94009.0</v>
      </c>
      <c r="D160" s="5">
        <v>179218.0</v>
      </c>
      <c r="E160" s="5">
        <v>292.0</v>
      </c>
      <c r="F160" s="5">
        <v>45.0</v>
      </c>
      <c r="G160" s="6">
        <f t="shared" si="1"/>
        <v>143374.4</v>
      </c>
      <c r="H160" s="6">
        <f t="shared" si="2"/>
        <v>27.8304958</v>
      </c>
      <c r="I160" s="6">
        <f t="shared" si="3"/>
        <v>569.7156703</v>
      </c>
      <c r="J160" s="6">
        <v>666.0321204372412</v>
      </c>
      <c r="K160" s="7">
        <f t="shared" si="4"/>
        <v>693.8361266</v>
      </c>
    </row>
    <row r="161" ht="22.5" customHeight="1">
      <c r="A161" s="5" t="s">
        <v>189</v>
      </c>
      <c r="B161" s="5" t="s">
        <v>24</v>
      </c>
      <c r="C161" s="5">
        <v>93872.0</v>
      </c>
      <c r="D161" s="5">
        <v>179851.0</v>
      </c>
      <c r="E161" s="5">
        <v>292.0</v>
      </c>
      <c r="F161" s="5">
        <v>45.0</v>
      </c>
      <c r="G161" s="6">
        <f t="shared" si="1"/>
        <v>143880.8</v>
      </c>
      <c r="H161" s="6">
        <f t="shared" si="2"/>
        <v>27.92879343</v>
      </c>
      <c r="I161" s="6">
        <f t="shared" si="3"/>
        <v>571.1234947</v>
      </c>
      <c r="J161" s="6">
        <v>667.6779524235926</v>
      </c>
      <c r="K161" s="7">
        <f t="shared" si="4"/>
        <v>695.6491118</v>
      </c>
    </row>
    <row r="162" ht="22.5" customHeight="1">
      <c r="A162" s="5" t="s">
        <v>190</v>
      </c>
      <c r="B162" s="5" t="s">
        <v>19</v>
      </c>
      <c r="C162" s="5">
        <v>93750.0</v>
      </c>
      <c r="D162" s="5">
        <v>103648.0</v>
      </c>
      <c r="E162" s="5">
        <v>335.0</v>
      </c>
      <c r="F162" s="5">
        <v>43.0</v>
      </c>
      <c r="G162" s="6">
        <f t="shared" si="1"/>
        <v>82918.4</v>
      </c>
      <c r="H162" s="6">
        <f t="shared" si="2"/>
        <v>15.36478205</v>
      </c>
      <c r="I162" s="6">
        <f t="shared" si="3"/>
        <v>388.3145601</v>
      </c>
      <c r="J162" s="6">
        <v>453.96323700689925</v>
      </c>
      <c r="K162" s="7">
        <f t="shared" si="4"/>
        <v>464.4258063</v>
      </c>
    </row>
    <row r="163" ht="22.5" customHeight="1">
      <c r="A163" s="5" t="s">
        <v>191</v>
      </c>
      <c r="B163" s="5" t="s">
        <v>24</v>
      </c>
      <c r="C163" s="5">
        <v>93719.0</v>
      </c>
      <c r="D163" s="5">
        <v>181500.0</v>
      </c>
      <c r="E163" s="5">
        <v>292.0</v>
      </c>
      <c r="F163" s="5">
        <v>45.0</v>
      </c>
      <c r="G163" s="6">
        <f t="shared" si="1"/>
        <v>145200</v>
      </c>
      <c r="H163" s="6">
        <f t="shared" si="2"/>
        <v>28.18486417</v>
      </c>
      <c r="I163" s="6">
        <f t="shared" si="3"/>
        <v>574.7839957</v>
      </c>
      <c r="J163" s="6">
        <v>671.9572997785705</v>
      </c>
      <c r="K163" s="7">
        <f t="shared" si="4"/>
        <v>700.3658376</v>
      </c>
    </row>
    <row r="164" ht="22.5" customHeight="1">
      <c r="A164" s="5" t="s">
        <v>192</v>
      </c>
      <c r="B164" s="5" t="s">
        <v>19</v>
      </c>
      <c r="C164" s="5">
        <v>93685.0</v>
      </c>
      <c r="D164" s="5">
        <v>116933.0</v>
      </c>
      <c r="E164" s="5">
        <v>300.0</v>
      </c>
      <c r="F164" s="5">
        <v>48.0</v>
      </c>
      <c r="G164" s="6">
        <f t="shared" si="1"/>
        <v>93546.4</v>
      </c>
      <c r="H164" s="6">
        <f t="shared" si="2"/>
        <v>15.53390191</v>
      </c>
      <c r="I164" s="6">
        <f t="shared" si="3"/>
        <v>422.5197274</v>
      </c>
      <c r="J164" s="6">
        <v>493.95114905908457</v>
      </c>
      <c r="K164" s="7">
        <f t="shared" si="4"/>
        <v>505.4606321</v>
      </c>
    </row>
    <row r="165" ht="22.5" customHeight="1">
      <c r="A165" s="5" t="s">
        <v>193</v>
      </c>
      <c r="B165" s="5" t="s">
        <v>24</v>
      </c>
      <c r="C165" s="5">
        <v>93629.0</v>
      </c>
      <c r="D165" s="5">
        <v>185767.0</v>
      </c>
      <c r="E165" s="5">
        <v>292.0</v>
      </c>
      <c r="F165" s="5">
        <v>48.0</v>
      </c>
      <c r="G165" s="6">
        <f t="shared" si="1"/>
        <v>148613.6</v>
      </c>
      <c r="H165" s="6">
        <f t="shared" si="2"/>
        <v>25.35423068</v>
      </c>
      <c r="I165" s="6">
        <f t="shared" si="3"/>
        <v>584.2100502</v>
      </c>
      <c r="J165" s="6">
        <v>682.9769283313395</v>
      </c>
      <c r="K165" s="7">
        <f t="shared" si="4"/>
        <v>708.9514602</v>
      </c>
    </row>
    <row r="166" ht="22.5" customHeight="1">
      <c r="A166" s="5" t="s">
        <v>194</v>
      </c>
      <c r="B166" s="5" t="s">
        <v>24</v>
      </c>
      <c r="C166" s="5">
        <v>93544.0</v>
      </c>
      <c r="D166" s="5">
        <v>179217.0</v>
      </c>
      <c r="E166" s="5">
        <v>292.0</v>
      </c>
      <c r="F166" s="5">
        <v>45.0</v>
      </c>
      <c r="G166" s="6">
        <f t="shared" si="1"/>
        <v>143373.6</v>
      </c>
      <c r="H166" s="6">
        <f t="shared" si="2"/>
        <v>27.83034051</v>
      </c>
      <c r="I166" s="6">
        <f t="shared" si="3"/>
        <v>569.7134451</v>
      </c>
      <c r="J166" s="6">
        <v>666.0295190083974</v>
      </c>
      <c r="K166" s="7">
        <f t="shared" si="4"/>
        <v>693.8332615</v>
      </c>
    </row>
    <row r="167" ht="22.5" customHeight="1">
      <c r="A167" s="5" t="s">
        <v>195</v>
      </c>
      <c r="B167" s="5" t="s">
        <v>19</v>
      </c>
      <c r="C167" s="5">
        <v>93511.0</v>
      </c>
      <c r="D167" s="5">
        <v>102861.0</v>
      </c>
      <c r="E167" s="5">
        <v>335.0</v>
      </c>
      <c r="F167" s="5">
        <v>43.0</v>
      </c>
      <c r="G167" s="6">
        <f t="shared" si="1"/>
        <v>82288.8</v>
      </c>
      <c r="H167" s="6">
        <f t="shared" si="2"/>
        <v>15.24811715</v>
      </c>
      <c r="I167" s="6">
        <f t="shared" si="3"/>
        <v>386.248269</v>
      </c>
      <c r="J167" s="6">
        <v>451.54761753547996</v>
      </c>
      <c r="K167" s="7">
        <f t="shared" si="4"/>
        <v>461.875494</v>
      </c>
    </row>
    <row r="168" ht="22.5" customHeight="1">
      <c r="A168" s="5" t="s">
        <v>196</v>
      </c>
      <c r="B168" s="5" t="s">
        <v>24</v>
      </c>
      <c r="C168" s="5">
        <v>93461.0</v>
      </c>
      <c r="D168" s="5">
        <v>179147.0</v>
      </c>
      <c r="E168" s="5">
        <v>292.0</v>
      </c>
      <c r="F168" s="5">
        <v>45.0</v>
      </c>
      <c r="G168" s="6">
        <f t="shared" si="1"/>
        <v>143317.6</v>
      </c>
      <c r="H168" s="6">
        <f t="shared" si="2"/>
        <v>27.81947032</v>
      </c>
      <c r="I168" s="6">
        <f t="shared" si="3"/>
        <v>569.5576697</v>
      </c>
      <c r="J168" s="6">
        <v>665.8474081661955</v>
      </c>
      <c r="K168" s="7">
        <f t="shared" si="4"/>
        <v>693.6326915</v>
      </c>
    </row>
    <row r="169" ht="22.5" customHeight="1">
      <c r="A169" s="5" t="s">
        <v>197</v>
      </c>
      <c r="B169" s="5" t="s">
        <v>24</v>
      </c>
      <c r="C169" s="5">
        <v>93360.0</v>
      </c>
      <c r="D169" s="5">
        <v>182060.0</v>
      </c>
      <c r="E169" s="5">
        <v>292.0</v>
      </c>
      <c r="F169" s="5">
        <v>45.0</v>
      </c>
      <c r="G169" s="6">
        <f t="shared" si="1"/>
        <v>145648</v>
      </c>
      <c r="H169" s="6">
        <f t="shared" si="2"/>
        <v>28.27182574</v>
      </c>
      <c r="I169" s="6">
        <f t="shared" si="3"/>
        <v>576.0248287</v>
      </c>
      <c r="J169" s="6">
        <v>673.4079086861341</v>
      </c>
      <c r="K169" s="7">
        <f t="shared" si="4"/>
        <v>701.9656153</v>
      </c>
    </row>
    <row r="170" ht="22.5" customHeight="1">
      <c r="A170" s="5" t="s">
        <v>198</v>
      </c>
      <c r="B170" s="5" t="s">
        <v>24</v>
      </c>
      <c r="C170" s="5">
        <v>93290.0</v>
      </c>
      <c r="D170" s="5">
        <v>179185.0</v>
      </c>
      <c r="E170" s="5">
        <v>292.0</v>
      </c>
      <c r="F170" s="5">
        <v>45.0</v>
      </c>
      <c r="G170" s="6">
        <f t="shared" si="1"/>
        <v>143348</v>
      </c>
      <c r="H170" s="6">
        <f t="shared" si="2"/>
        <v>27.82537128</v>
      </c>
      <c r="I170" s="6">
        <f t="shared" si="3"/>
        <v>569.6422357</v>
      </c>
      <c r="J170" s="6">
        <v>665.9462709859638</v>
      </c>
      <c r="K170" s="7">
        <f t="shared" si="4"/>
        <v>693.7415743</v>
      </c>
    </row>
    <row r="171" ht="22.5" customHeight="1">
      <c r="A171" s="5" t="s">
        <v>199</v>
      </c>
      <c r="B171" s="5" t="s">
        <v>24</v>
      </c>
      <c r="C171" s="5">
        <v>93227.0</v>
      </c>
      <c r="D171" s="5">
        <v>179250.0</v>
      </c>
      <c r="E171" s="5">
        <v>292.0</v>
      </c>
      <c r="F171" s="5">
        <v>45.0</v>
      </c>
      <c r="G171" s="6">
        <f t="shared" si="1"/>
        <v>143400</v>
      </c>
      <c r="H171" s="6">
        <f t="shared" si="2"/>
        <v>27.83546503</v>
      </c>
      <c r="I171" s="6">
        <f t="shared" si="3"/>
        <v>569.7868757</v>
      </c>
      <c r="J171" s="6">
        <v>666.1153638611695</v>
      </c>
      <c r="K171" s="7">
        <f t="shared" si="4"/>
        <v>693.9278102</v>
      </c>
    </row>
    <row r="172" ht="22.5" customHeight="1">
      <c r="A172" s="5" t="s">
        <v>200</v>
      </c>
      <c r="B172" s="5" t="s">
        <v>24</v>
      </c>
      <c r="C172" s="5">
        <v>93175.0</v>
      </c>
      <c r="D172" s="5">
        <v>179213.0</v>
      </c>
      <c r="E172" s="5">
        <v>292.0</v>
      </c>
      <c r="F172" s="5">
        <v>45.0</v>
      </c>
      <c r="G172" s="6">
        <f t="shared" si="1"/>
        <v>143370.4</v>
      </c>
      <c r="H172" s="6">
        <f t="shared" si="2"/>
        <v>27.82971936</v>
      </c>
      <c r="I172" s="6">
        <f t="shared" si="3"/>
        <v>569.7045441</v>
      </c>
      <c r="J172" s="6">
        <v>666.0191132494755</v>
      </c>
      <c r="K172" s="7">
        <f t="shared" si="4"/>
        <v>693.8218008</v>
      </c>
    </row>
    <row r="173" ht="22.5" customHeight="1">
      <c r="A173" s="5" t="s">
        <v>201</v>
      </c>
      <c r="B173" s="5" t="s">
        <v>24</v>
      </c>
      <c r="C173" s="5">
        <v>93074.0</v>
      </c>
      <c r="D173" s="5">
        <v>181360.0</v>
      </c>
      <c r="E173" s="5">
        <v>292.0</v>
      </c>
      <c r="F173" s="5">
        <v>45.0</v>
      </c>
      <c r="G173" s="6">
        <f t="shared" si="1"/>
        <v>145088</v>
      </c>
      <c r="H173" s="6">
        <f t="shared" si="2"/>
        <v>28.16312378</v>
      </c>
      <c r="I173" s="6">
        <f t="shared" si="3"/>
        <v>574.4736081</v>
      </c>
      <c r="J173" s="6">
        <v>671.5944378659287</v>
      </c>
      <c r="K173" s="7">
        <f t="shared" si="4"/>
        <v>699.9657338</v>
      </c>
    </row>
    <row r="174" ht="22.5" customHeight="1">
      <c r="A174" s="5" t="s">
        <v>202</v>
      </c>
      <c r="B174" s="5" t="s">
        <v>24</v>
      </c>
      <c r="C174" s="5">
        <v>92992.0</v>
      </c>
      <c r="D174" s="5">
        <v>180981.0</v>
      </c>
      <c r="E174" s="5">
        <v>292.0</v>
      </c>
      <c r="F174" s="5">
        <v>45.0</v>
      </c>
      <c r="G174" s="6">
        <f t="shared" si="1"/>
        <v>144784.8</v>
      </c>
      <c r="H174" s="6">
        <f t="shared" si="2"/>
        <v>28.10426944</v>
      </c>
      <c r="I174" s="6">
        <f t="shared" si="3"/>
        <v>573.6329836</v>
      </c>
      <c r="J174" s="6">
        <v>670.6116968739472</v>
      </c>
      <c r="K174" s="7">
        <f t="shared" si="4"/>
        <v>698.8822746</v>
      </c>
    </row>
    <row r="175" ht="22.5" customHeight="1">
      <c r="A175" s="5" t="s">
        <v>203</v>
      </c>
      <c r="B175" s="5" t="s">
        <v>24</v>
      </c>
      <c r="C175" s="5">
        <v>92865.0</v>
      </c>
      <c r="D175" s="5">
        <v>178896.0</v>
      </c>
      <c r="E175" s="5">
        <v>292.0</v>
      </c>
      <c r="F175" s="5">
        <v>45.0</v>
      </c>
      <c r="G175" s="6">
        <f t="shared" si="1"/>
        <v>143116.8</v>
      </c>
      <c r="H175" s="6">
        <f t="shared" si="2"/>
        <v>27.7804929</v>
      </c>
      <c r="I175" s="6">
        <f t="shared" si="3"/>
        <v>568.9989535</v>
      </c>
      <c r="J175" s="6">
        <v>665.1942351219965</v>
      </c>
      <c r="K175" s="7">
        <f t="shared" si="4"/>
        <v>692.9133707</v>
      </c>
    </row>
    <row r="176" ht="22.5" customHeight="1">
      <c r="A176" s="5" t="s">
        <v>204</v>
      </c>
      <c r="B176" s="5" t="s">
        <v>24</v>
      </c>
      <c r="C176" s="5">
        <v>92752.0</v>
      </c>
      <c r="D176" s="5">
        <v>181458.0</v>
      </c>
      <c r="E176" s="5">
        <v>292.0</v>
      </c>
      <c r="F176" s="5">
        <v>45.0</v>
      </c>
      <c r="G176" s="6">
        <f t="shared" si="1"/>
        <v>145166.4</v>
      </c>
      <c r="H176" s="6">
        <f t="shared" si="2"/>
        <v>28.17834206</v>
      </c>
      <c r="I176" s="6">
        <f t="shared" si="3"/>
        <v>574.690887</v>
      </c>
      <c r="J176" s="6">
        <v>671.8484500242349</v>
      </c>
      <c r="K176" s="7">
        <f t="shared" si="4"/>
        <v>700.2458132</v>
      </c>
    </row>
    <row r="177" ht="22.5" customHeight="1">
      <c r="A177" s="5" t="s">
        <v>205</v>
      </c>
      <c r="B177" s="5" t="s">
        <v>24</v>
      </c>
      <c r="C177" s="5">
        <v>92752.0</v>
      </c>
      <c r="D177" s="5">
        <v>181392.0</v>
      </c>
      <c r="E177" s="5">
        <v>292.0</v>
      </c>
      <c r="F177" s="5">
        <v>45.0</v>
      </c>
      <c r="G177" s="6">
        <f t="shared" si="1"/>
        <v>145113.6</v>
      </c>
      <c r="H177" s="6">
        <f t="shared" si="2"/>
        <v>28.16809302</v>
      </c>
      <c r="I177" s="6">
        <f t="shared" si="3"/>
        <v>574.5445602</v>
      </c>
      <c r="J177" s="6">
        <v>671.6773851381012</v>
      </c>
      <c r="K177" s="7">
        <f t="shared" si="4"/>
        <v>700.0571917</v>
      </c>
    </row>
    <row r="178" ht="22.5" customHeight="1">
      <c r="A178" s="5" t="s">
        <v>206</v>
      </c>
      <c r="B178" s="5" t="s">
        <v>24</v>
      </c>
      <c r="C178" s="5">
        <v>92732.0</v>
      </c>
      <c r="D178" s="5">
        <v>181160.0</v>
      </c>
      <c r="E178" s="5">
        <v>292.0</v>
      </c>
      <c r="F178" s="5">
        <v>45.0</v>
      </c>
      <c r="G178" s="6">
        <f t="shared" si="1"/>
        <v>144928</v>
      </c>
      <c r="H178" s="6">
        <f t="shared" si="2"/>
        <v>28.13206608</v>
      </c>
      <c r="I178" s="6">
        <f t="shared" si="3"/>
        <v>574.0300725</v>
      </c>
      <c r="J178" s="6">
        <v>671.0759178959055</v>
      </c>
      <c r="K178" s="7">
        <f t="shared" si="4"/>
        <v>699.394046</v>
      </c>
    </row>
    <row r="179" ht="22.5" customHeight="1">
      <c r="A179" s="5" t="s">
        <v>207</v>
      </c>
      <c r="B179" s="5" t="s">
        <v>24</v>
      </c>
      <c r="C179" s="5">
        <v>92696.0</v>
      </c>
      <c r="D179" s="5">
        <v>181218.0</v>
      </c>
      <c r="E179" s="5">
        <v>292.0</v>
      </c>
      <c r="F179" s="5">
        <v>45.0</v>
      </c>
      <c r="G179" s="6">
        <f t="shared" si="1"/>
        <v>144974.4</v>
      </c>
      <c r="H179" s="6">
        <f t="shared" si="2"/>
        <v>28.14107282</v>
      </c>
      <c r="I179" s="6">
        <f t="shared" si="3"/>
        <v>574.1587129</v>
      </c>
      <c r="J179" s="6">
        <v>671.2263063591733</v>
      </c>
      <c r="K179" s="7">
        <f t="shared" si="4"/>
        <v>699.5598489</v>
      </c>
    </row>
    <row r="180" ht="22.5" customHeight="1">
      <c r="A180" s="5" t="s">
        <v>208</v>
      </c>
      <c r="B180" s="5" t="s">
        <v>24</v>
      </c>
      <c r="C180" s="5">
        <v>92379.0</v>
      </c>
      <c r="D180" s="5">
        <v>180528.0</v>
      </c>
      <c r="E180" s="5">
        <v>292.0</v>
      </c>
      <c r="F180" s="5">
        <v>45.0</v>
      </c>
      <c r="G180" s="6">
        <f t="shared" si="1"/>
        <v>144422.4</v>
      </c>
      <c r="H180" s="6">
        <f t="shared" si="2"/>
        <v>28.03392375</v>
      </c>
      <c r="I180" s="6">
        <f t="shared" si="3"/>
        <v>572.6275333</v>
      </c>
      <c r="J180" s="6">
        <v>669.4362646660815</v>
      </c>
      <c r="K180" s="7">
        <f t="shared" si="4"/>
        <v>697.5866525</v>
      </c>
    </row>
    <row r="181" ht="22.5" customHeight="1">
      <c r="A181" s="5" t="s">
        <v>209</v>
      </c>
      <c r="B181" s="5" t="s">
        <v>24</v>
      </c>
      <c r="C181" s="5">
        <v>92270.0</v>
      </c>
      <c r="D181" s="5">
        <v>175820.0</v>
      </c>
      <c r="E181" s="5">
        <v>292.0</v>
      </c>
      <c r="F181" s="5">
        <v>45.0</v>
      </c>
      <c r="G181" s="6">
        <f t="shared" si="1"/>
        <v>140656</v>
      </c>
      <c r="H181" s="6">
        <f t="shared" si="2"/>
        <v>27.30282545</v>
      </c>
      <c r="I181" s="6">
        <f t="shared" si="3"/>
        <v>562.1326613</v>
      </c>
      <c r="J181" s="6">
        <v>657.1671236350362</v>
      </c>
      <c r="K181" s="7">
        <f t="shared" si="4"/>
        <v>684.0809025</v>
      </c>
    </row>
    <row r="182" ht="22.5" customHeight="1">
      <c r="A182" s="5" t="s">
        <v>210</v>
      </c>
      <c r="B182" s="5" t="s">
        <v>19</v>
      </c>
      <c r="C182" s="5">
        <v>92198.0</v>
      </c>
      <c r="D182" s="5">
        <v>110387.0</v>
      </c>
      <c r="E182" s="5">
        <v>347.0</v>
      </c>
      <c r="F182" s="5">
        <v>43.0</v>
      </c>
      <c r="G182" s="6">
        <f t="shared" si="1"/>
        <v>88309.6</v>
      </c>
      <c r="H182" s="6">
        <f t="shared" si="2"/>
        <v>15.79787745</v>
      </c>
      <c r="I182" s="6">
        <f t="shared" si="3"/>
        <v>405.8201229</v>
      </c>
      <c r="J182" s="6">
        <v>474.42830000504716</v>
      </c>
      <c r="K182" s="7">
        <f t="shared" si="4"/>
        <v>485.6707402</v>
      </c>
    </row>
    <row r="183" ht="22.5" customHeight="1">
      <c r="A183" s="5" t="s">
        <v>211</v>
      </c>
      <c r="B183" s="5" t="s">
        <v>19</v>
      </c>
      <c r="C183" s="5">
        <v>92111.0</v>
      </c>
      <c r="D183" s="5">
        <v>101279.0</v>
      </c>
      <c r="E183" s="5">
        <v>335.0</v>
      </c>
      <c r="F183" s="5">
        <v>43.0</v>
      </c>
      <c r="G183" s="6">
        <f t="shared" si="1"/>
        <v>81023.2</v>
      </c>
      <c r="H183" s="6">
        <f t="shared" si="2"/>
        <v>15.01360143</v>
      </c>
      <c r="I183" s="6">
        <f t="shared" si="3"/>
        <v>382.080268</v>
      </c>
      <c r="J183" s="6">
        <v>446.67497204084003</v>
      </c>
      <c r="K183" s="7">
        <f t="shared" si="4"/>
        <v>456.734272</v>
      </c>
    </row>
    <row r="184" ht="22.5" customHeight="1">
      <c r="A184" s="5" t="s">
        <v>212</v>
      </c>
      <c r="B184" s="5" t="s">
        <v>24</v>
      </c>
      <c r="C184" s="5">
        <v>92050.0</v>
      </c>
      <c r="D184" s="5">
        <v>175611.0</v>
      </c>
      <c r="E184" s="5">
        <v>292.0</v>
      </c>
      <c r="F184" s="5">
        <v>45.0</v>
      </c>
      <c r="G184" s="6">
        <f t="shared" si="1"/>
        <v>140488.8</v>
      </c>
      <c r="H184" s="6">
        <f t="shared" si="2"/>
        <v>27.27037015</v>
      </c>
      <c r="I184" s="6">
        <f t="shared" si="3"/>
        <v>561.6648267</v>
      </c>
      <c r="J184" s="6">
        <v>656.620196652173</v>
      </c>
      <c r="K184" s="7">
        <f t="shared" si="4"/>
        <v>683.4796104</v>
      </c>
    </row>
    <row r="185" ht="22.5" customHeight="1">
      <c r="A185" s="5" t="s">
        <v>213</v>
      </c>
      <c r="B185" s="5" t="s">
        <v>24</v>
      </c>
      <c r="C185" s="5">
        <v>91971.0</v>
      </c>
      <c r="D185" s="5">
        <v>175641.0</v>
      </c>
      <c r="E185" s="5">
        <v>292.0</v>
      </c>
      <c r="F185" s="5">
        <v>45.0</v>
      </c>
      <c r="G185" s="6">
        <f t="shared" si="1"/>
        <v>140512.8</v>
      </c>
      <c r="H185" s="6">
        <f t="shared" si="2"/>
        <v>27.27502881</v>
      </c>
      <c r="I185" s="6">
        <f t="shared" si="3"/>
        <v>561.7319902</v>
      </c>
      <c r="J185" s="6">
        <v>656.6987149159183</v>
      </c>
      <c r="K185" s="7">
        <f t="shared" si="4"/>
        <v>683.5659295</v>
      </c>
    </row>
    <row r="186" ht="22.5" customHeight="1">
      <c r="A186" s="5" t="s">
        <v>214</v>
      </c>
      <c r="B186" s="5" t="s">
        <v>24</v>
      </c>
      <c r="C186" s="5">
        <v>91910.0</v>
      </c>
      <c r="D186" s="5">
        <v>175607.0</v>
      </c>
      <c r="E186" s="5">
        <v>290.0</v>
      </c>
      <c r="F186" s="5">
        <v>45.0</v>
      </c>
      <c r="G186" s="6">
        <f t="shared" si="1"/>
        <v>140485.6</v>
      </c>
      <c r="H186" s="6">
        <f t="shared" si="2"/>
        <v>27.45781623</v>
      </c>
      <c r="I186" s="6">
        <f t="shared" si="3"/>
        <v>561.6558713</v>
      </c>
      <c r="J186" s="6">
        <v>656.6097272463139</v>
      </c>
      <c r="K186" s="7">
        <f t="shared" si="4"/>
        <v>683.6533311</v>
      </c>
    </row>
    <row r="187" ht="22.5" customHeight="1">
      <c r="A187" s="5" t="s">
        <v>215</v>
      </c>
      <c r="B187" s="5" t="s">
        <v>24</v>
      </c>
      <c r="C187" s="5">
        <v>91739.0</v>
      </c>
      <c r="D187" s="5">
        <v>177987.0</v>
      </c>
      <c r="E187" s="5">
        <v>292.0</v>
      </c>
      <c r="F187" s="5">
        <v>45.0</v>
      </c>
      <c r="G187" s="6">
        <f t="shared" si="1"/>
        <v>142389.6</v>
      </c>
      <c r="H187" s="6">
        <f t="shared" si="2"/>
        <v>27.63933565</v>
      </c>
      <c r="I187" s="6">
        <f t="shared" si="3"/>
        <v>566.9735835</v>
      </c>
      <c r="J187" s="6">
        <v>662.8264549334393</v>
      </c>
      <c r="K187" s="7">
        <f t="shared" si="4"/>
        <v>690.3065792</v>
      </c>
    </row>
    <row r="188" ht="22.5" customHeight="1">
      <c r="A188" s="5" t="s">
        <v>216</v>
      </c>
      <c r="B188" s="5" t="s">
        <v>24</v>
      </c>
      <c r="C188" s="5">
        <v>91625.0</v>
      </c>
      <c r="D188" s="5">
        <v>176460.0</v>
      </c>
      <c r="E188" s="5">
        <v>292.0</v>
      </c>
      <c r="F188" s="5">
        <v>45.0</v>
      </c>
      <c r="G188" s="6">
        <f t="shared" si="1"/>
        <v>141168</v>
      </c>
      <c r="H188" s="6">
        <f t="shared" si="2"/>
        <v>27.4022101</v>
      </c>
      <c r="I188" s="6">
        <f t="shared" si="3"/>
        <v>563.5642284</v>
      </c>
      <c r="J188" s="6">
        <v>658.840712375061</v>
      </c>
      <c r="K188" s="7">
        <f t="shared" si="4"/>
        <v>685.9212498</v>
      </c>
    </row>
    <row r="189" ht="22.5" customHeight="1">
      <c r="A189" s="5" t="s">
        <v>217</v>
      </c>
      <c r="B189" s="5" t="s">
        <v>19</v>
      </c>
      <c r="C189" s="5">
        <v>91499.0</v>
      </c>
      <c r="D189" s="5">
        <v>101147.0</v>
      </c>
      <c r="E189" s="5">
        <v>335.0</v>
      </c>
      <c r="F189" s="5">
        <v>43.0</v>
      </c>
      <c r="G189" s="6">
        <f t="shared" si="1"/>
        <v>80917.6</v>
      </c>
      <c r="H189" s="6">
        <f t="shared" si="2"/>
        <v>14.99403374</v>
      </c>
      <c r="I189" s="6">
        <f t="shared" si="3"/>
        <v>381.7316161</v>
      </c>
      <c r="J189" s="6">
        <v>446.2673767764223</v>
      </c>
      <c r="K189" s="7">
        <f t="shared" si="4"/>
        <v>456.3043989</v>
      </c>
    </row>
    <row r="190" ht="22.5" customHeight="1">
      <c r="A190" s="5" t="s">
        <v>218</v>
      </c>
      <c r="B190" s="5" t="s">
        <v>24</v>
      </c>
      <c r="C190" s="5">
        <v>91407.0</v>
      </c>
      <c r="D190" s="5">
        <v>177935.0</v>
      </c>
      <c r="E190" s="5">
        <v>292.0</v>
      </c>
      <c r="F190" s="5">
        <v>45.0</v>
      </c>
      <c r="G190" s="6">
        <f t="shared" si="1"/>
        <v>142348</v>
      </c>
      <c r="H190" s="6">
        <f t="shared" si="2"/>
        <v>27.63126064</v>
      </c>
      <c r="I190" s="6">
        <f t="shared" si="3"/>
        <v>566.8576271</v>
      </c>
      <c r="J190" s="6">
        <v>662.6908948059239</v>
      </c>
      <c r="K190" s="7">
        <f t="shared" si="4"/>
        <v>690.1573721</v>
      </c>
    </row>
    <row r="191" ht="22.5" customHeight="1">
      <c r="A191" s="5" t="s">
        <v>219</v>
      </c>
      <c r="B191" s="5" t="s">
        <v>24</v>
      </c>
      <c r="C191" s="5">
        <v>91374.0</v>
      </c>
      <c r="D191" s="5">
        <v>176216.0</v>
      </c>
      <c r="E191" s="5">
        <v>292.0</v>
      </c>
      <c r="F191" s="5">
        <v>45.0</v>
      </c>
      <c r="G191" s="6">
        <f t="shared" si="1"/>
        <v>140972.8</v>
      </c>
      <c r="H191" s="6">
        <f t="shared" si="2"/>
        <v>27.3643197</v>
      </c>
      <c r="I191" s="6">
        <f t="shared" si="3"/>
        <v>563.0186275</v>
      </c>
      <c r="J191" s="6">
        <v>658.2028718004769</v>
      </c>
      <c r="K191" s="7">
        <f t="shared" si="4"/>
        <v>685.2197825</v>
      </c>
    </row>
    <row r="192" ht="22.5" customHeight="1">
      <c r="A192" s="5" t="s">
        <v>220</v>
      </c>
      <c r="B192" s="5" t="s">
        <v>24</v>
      </c>
      <c r="C192" s="5">
        <v>91373.0</v>
      </c>
      <c r="D192" s="5">
        <v>177807.0</v>
      </c>
      <c r="E192" s="5">
        <v>292.0</v>
      </c>
      <c r="F192" s="5">
        <v>45.0</v>
      </c>
      <c r="G192" s="6">
        <f t="shared" si="1"/>
        <v>142245.6</v>
      </c>
      <c r="H192" s="6">
        <f t="shared" si="2"/>
        <v>27.61138372</v>
      </c>
      <c r="I192" s="6">
        <f t="shared" si="3"/>
        <v>566.5721524</v>
      </c>
      <c r="J192" s="6">
        <v>662.3571576927438</v>
      </c>
      <c r="K192" s="7">
        <f t="shared" si="4"/>
        <v>689.7900541</v>
      </c>
    </row>
    <row r="193" ht="22.5" customHeight="1">
      <c r="A193" s="5" t="s">
        <v>221</v>
      </c>
      <c r="B193" s="5" t="s">
        <v>24</v>
      </c>
      <c r="C193" s="5">
        <v>91178.0</v>
      </c>
      <c r="D193" s="5">
        <v>175775.0</v>
      </c>
      <c r="E193" s="5">
        <v>282.0</v>
      </c>
      <c r="F193" s="5">
        <v>45.0</v>
      </c>
      <c r="G193" s="6">
        <f t="shared" si="1"/>
        <v>140620</v>
      </c>
      <c r="H193" s="6">
        <f t="shared" si="2"/>
        <v>28.26377497</v>
      </c>
      <c r="I193" s="6">
        <f t="shared" si="3"/>
        <v>562.0319454</v>
      </c>
      <c r="J193" s="6">
        <v>657.0493807205964</v>
      </c>
      <c r="K193" s="7">
        <f t="shared" si="4"/>
        <v>684.9054245</v>
      </c>
    </row>
    <row r="194" ht="22.5" customHeight="1">
      <c r="A194" s="5" t="s">
        <v>222</v>
      </c>
      <c r="B194" s="5" t="s">
        <v>19</v>
      </c>
      <c r="C194" s="5">
        <v>91051.0</v>
      </c>
      <c r="D194" s="5">
        <v>102875.0</v>
      </c>
      <c r="E194" s="5">
        <v>334.0</v>
      </c>
      <c r="F194" s="5">
        <v>43.0</v>
      </c>
      <c r="G194" s="6">
        <f t="shared" si="1"/>
        <v>82300</v>
      </c>
      <c r="H194" s="6">
        <f t="shared" si="2"/>
        <v>15.29585177</v>
      </c>
      <c r="I194" s="6">
        <f t="shared" si="3"/>
        <v>386.2850677</v>
      </c>
      <c r="J194" s="6">
        <v>451.59063749750067</v>
      </c>
      <c r="K194" s="7">
        <f t="shared" si="4"/>
        <v>461.9518327</v>
      </c>
    </row>
    <row r="195" ht="22.5" customHeight="1">
      <c r="A195" s="5" t="s">
        <v>223</v>
      </c>
      <c r="B195" s="5" t="s">
        <v>45</v>
      </c>
      <c r="C195" s="5">
        <v>90835.0</v>
      </c>
      <c r="D195" s="5">
        <v>77217.0</v>
      </c>
      <c r="E195" s="5">
        <v>284.0</v>
      </c>
      <c r="F195" s="5">
        <v>43.0</v>
      </c>
      <c r="G195" s="6">
        <f t="shared" si="1"/>
        <v>61773.6</v>
      </c>
      <c r="H195" s="6">
        <f t="shared" si="2"/>
        <v>13.50221034</v>
      </c>
      <c r="I195" s="6">
        <f t="shared" si="3"/>
        <v>316.0021764</v>
      </c>
      <c r="J195" s="6">
        <v>369.4256812774988</v>
      </c>
      <c r="K195" s="7">
        <f t="shared" si="4"/>
        <v>376.9077762</v>
      </c>
    </row>
    <row r="196" ht="22.5" customHeight="1">
      <c r="A196" s="5" t="s">
        <v>224</v>
      </c>
      <c r="B196" s="5" t="s">
        <v>24</v>
      </c>
      <c r="C196" s="5">
        <v>90633.0</v>
      </c>
      <c r="D196" s="5">
        <v>173329.0</v>
      </c>
      <c r="E196" s="5">
        <v>290.0</v>
      </c>
      <c r="F196" s="5">
        <v>46.0</v>
      </c>
      <c r="G196" s="6">
        <f t="shared" si="1"/>
        <v>138663.2</v>
      </c>
      <c r="H196" s="6">
        <f t="shared" si="2"/>
        <v>25.93610562</v>
      </c>
      <c r="I196" s="6">
        <f t="shared" si="3"/>
        <v>556.5457729</v>
      </c>
      <c r="J196" s="6">
        <v>650.6357128642361</v>
      </c>
      <c r="K196" s="7">
        <f t="shared" si="4"/>
        <v>675.9481477</v>
      </c>
    </row>
    <row r="197" ht="22.5" customHeight="1">
      <c r="A197" s="5" t="s">
        <v>225</v>
      </c>
      <c r="B197" s="5" t="s">
        <v>24</v>
      </c>
      <c r="C197" s="5">
        <v>90423.0</v>
      </c>
      <c r="D197" s="5">
        <v>180242.0</v>
      </c>
      <c r="E197" s="5">
        <v>289.0</v>
      </c>
      <c r="F197" s="5">
        <v>45.0</v>
      </c>
      <c r="G197" s="6">
        <f t="shared" si="1"/>
        <v>144193.6</v>
      </c>
      <c r="H197" s="6">
        <f t="shared" si="2"/>
        <v>28.28005979</v>
      </c>
      <c r="I197" s="6">
        <f t="shared" si="3"/>
        <v>571.992356</v>
      </c>
      <c r="J197" s="6">
        <v>668.6937038979262</v>
      </c>
      <c r="K197" s="7">
        <f t="shared" si="4"/>
        <v>697.0597508</v>
      </c>
    </row>
    <row r="198" ht="22.5" customHeight="1">
      <c r="A198" s="5" t="s">
        <v>226</v>
      </c>
      <c r="B198" s="5" t="s">
        <v>24</v>
      </c>
      <c r="C198" s="5">
        <v>90136.0</v>
      </c>
      <c r="D198" s="5">
        <v>179719.0</v>
      </c>
      <c r="E198" s="5">
        <v>292.0</v>
      </c>
      <c r="F198" s="5">
        <v>45.0</v>
      </c>
      <c r="G198" s="6">
        <f t="shared" si="1"/>
        <v>143775.2</v>
      </c>
      <c r="H198" s="6">
        <f t="shared" si="2"/>
        <v>27.90829534</v>
      </c>
      <c r="I198" s="6">
        <f t="shared" si="3"/>
        <v>570.8300428</v>
      </c>
      <c r="J198" s="6">
        <v>667.3348893499046</v>
      </c>
      <c r="K198" s="7">
        <f t="shared" si="4"/>
        <v>695.2711581</v>
      </c>
    </row>
    <row r="199" ht="22.5" customHeight="1">
      <c r="A199" s="5" t="s">
        <v>227</v>
      </c>
      <c r="B199" s="5" t="s">
        <v>24</v>
      </c>
      <c r="C199" s="5">
        <v>90104.0</v>
      </c>
      <c r="D199" s="5">
        <v>179719.0</v>
      </c>
      <c r="E199" s="5">
        <v>292.0</v>
      </c>
      <c r="F199" s="5">
        <v>45.0</v>
      </c>
      <c r="G199" s="6">
        <f t="shared" si="1"/>
        <v>143775.2</v>
      </c>
      <c r="H199" s="6">
        <f t="shared" si="2"/>
        <v>27.90829534</v>
      </c>
      <c r="I199" s="6">
        <f t="shared" si="3"/>
        <v>570.8300428</v>
      </c>
      <c r="J199" s="6">
        <v>667.3348893499046</v>
      </c>
      <c r="K199" s="7">
        <f t="shared" si="4"/>
        <v>695.2711581</v>
      </c>
    </row>
    <row r="200" ht="22.5" customHeight="1">
      <c r="A200" s="5" t="s">
        <v>228</v>
      </c>
      <c r="B200" s="5" t="s">
        <v>24</v>
      </c>
      <c r="C200" s="5">
        <v>90091.0</v>
      </c>
      <c r="D200" s="5">
        <v>180310.0</v>
      </c>
      <c r="E200" s="5">
        <v>289.0</v>
      </c>
      <c r="F200" s="5">
        <v>45.0</v>
      </c>
      <c r="G200" s="6">
        <f t="shared" si="1"/>
        <v>144248</v>
      </c>
      <c r="H200" s="6">
        <f t="shared" si="2"/>
        <v>28.29072903</v>
      </c>
      <c r="I200" s="6">
        <f t="shared" si="3"/>
        <v>572.1434046</v>
      </c>
      <c r="J200" s="6">
        <v>668.8702888189316</v>
      </c>
      <c r="K200" s="7">
        <f t="shared" si="4"/>
        <v>697.254531</v>
      </c>
    </row>
    <row r="201" ht="22.5" customHeight="1">
      <c r="A201" s="5" t="s">
        <v>229</v>
      </c>
      <c r="B201" s="5" t="s">
        <v>24</v>
      </c>
      <c r="C201" s="5">
        <v>89991.0</v>
      </c>
      <c r="D201" s="5">
        <v>176283.0</v>
      </c>
      <c r="E201" s="5">
        <v>292.0</v>
      </c>
      <c r="F201" s="5">
        <v>45.0</v>
      </c>
      <c r="G201" s="6">
        <f t="shared" si="1"/>
        <v>141026.4</v>
      </c>
      <c r="H201" s="6">
        <f t="shared" si="2"/>
        <v>27.37472403</v>
      </c>
      <c r="I201" s="6">
        <f t="shared" si="3"/>
        <v>563.1684667</v>
      </c>
      <c r="J201" s="6">
        <v>658.3780429223234</v>
      </c>
      <c r="K201" s="7">
        <f t="shared" si="4"/>
        <v>685.4124188</v>
      </c>
    </row>
  </sheetData>
  <drawing r:id="rId1"/>
  <tableParts count="1">
    <tablePart r:id="rId3"/>
  </tableParts>
</worksheet>
</file>